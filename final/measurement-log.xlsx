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血壓722" sheetId="2" state="visible" r:id="rId4"/>
    <sheet name="臥站血壓" sheetId="3" state="visible" r:id="rId5"/>
    <sheet name="夜間如廁" sheetId="4" state="visible" r:id="rId6"/>
    <sheet name="洗澡濕度" sheetId="5" state="visible" r:id="rId7"/>
    <sheet name="摘要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<sst xmlns="http://schemas.openxmlformats.org/spreadsheetml/2006/main" count="205" uniqueCount="144">
  <si>
    <t xml:space="preserve">期末報告實測紀錄表（浴室安全監測系統）</t>
  </si>
  <si>
    <t xml:space="preserve">用途</t>
  </si>
  <si>
    <r>
      <rPr>
        <sz val="11"/>
        <rFont val="WenQuanYi Zen Hei"/>
        <family val="2"/>
      </rPr>
      <t xml:space="preserve">期末報告第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項（感測器訊號的收集、資料整理分析）的實際資料。量完把這個檔案交回，用來做期末報告的分析頁。</t>
    </r>
  </si>
  <si>
    <t xml:space="preserve">怎麼填</t>
  </si>
  <si>
    <t xml:space="preserve">只填淺黃色格子（藍色字）。灰色斜體的「範例」列不會被計算，可以留著。計算欄、判斷欄與「摘要」工作表會自動更新。</t>
  </si>
  <si>
    <r>
      <rPr>
        <b val="true"/>
        <sz val="11"/>
        <rFont val="Arial"/>
        <family val="0"/>
        <charset val="1"/>
      </rPr>
      <t xml:space="preserve">1. </t>
    </r>
    <r>
      <rPr>
        <b val="true"/>
        <sz val="11"/>
        <rFont val="WenQuanYi Zen Hei"/>
        <family val="2"/>
      </rPr>
      <t xml:space="preserve">血壓 </t>
    </r>
    <r>
      <rPr>
        <b val="true"/>
        <sz val="11"/>
        <rFont val="Arial"/>
        <family val="0"/>
        <charset val="1"/>
      </rPr>
      <t xml:space="preserve">722</t>
    </r>
  </si>
  <si>
    <r>
      <rPr>
        <sz val="11"/>
        <rFont val="WenQuanYi Zen Hei"/>
        <family val="2"/>
      </rPr>
      <t xml:space="preserve">連續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天，早上起床後、晚上睡覺前各量一次，每次量兩遍（國健署 </t>
    </r>
    <r>
      <rPr>
        <sz val="11"/>
        <rFont val="Arial"/>
        <family val="0"/>
        <charset val="1"/>
      </rPr>
      <t xml:space="preserve">722 </t>
    </r>
    <r>
      <rPr>
        <sz val="11"/>
        <rFont val="WenQuanYi Zen Hei"/>
        <family val="2"/>
      </rPr>
      <t xml:space="preserve">原則）。為了每天的數字可以互相比較，本紀錄固定坐著、量同一隻手臂，量完一遍隔一下再量第二遍。</t>
    </r>
  </si>
  <si>
    <r>
      <rPr>
        <b val="true"/>
        <sz val="11"/>
        <rFont val="Arial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臥站血壓</t>
    </r>
  </si>
  <si>
    <r>
      <rPr>
        <sz val="11"/>
        <rFont val="WenQuanYi Zen Hei"/>
        <family val="2"/>
      </rPr>
      <t xml:space="preserve">每週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次（共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次）。平躺休息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分鐘後量一次，站起來後第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分鐘、第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分鐘各再量一次。站起來時旁邊要有人扶；如果頭暈，立刻坐下並停止測量。</t>
    </r>
  </si>
  <si>
    <r>
      <rPr>
        <b val="true"/>
        <sz val="11"/>
        <rFont val="Arial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夜間如廁</t>
    </r>
  </si>
  <si>
    <r>
      <rPr>
        <sz val="11"/>
        <rFont val="WenQuanYi Zen Hei"/>
        <family val="2"/>
      </rPr>
      <t xml:space="preserve">連續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晚。記錄上床、起床時間，以及半夜起來上廁所的次數，起身時有沒有頭暈。可以請長輩早上回想，或由家人記錄。</t>
    </r>
  </si>
  <si>
    <r>
      <rPr>
        <b val="true"/>
        <sz val="11"/>
        <rFont val="Arial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洗澡濕度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</si>
  <si>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次洗澡。浴室放一個電子溫濕度計（大多數手機沒有濕度感測器）。記錄洗澡前的濕度、洗澡中看到的最高濕度、洗完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分鐘後的濕度，以及開始、結束時間。</t>
    </r>
  </si>
  <si>
    <t xml:space="preserve">安全</t>
  </si>
  <si>
    <t xml:space="preserve">量測只是報告用的紀錄，不是診斷。血壓很高、站起來頭暈或身體不舒服，請停止並尋求醫療協助。開始前先徵得被量測者同意。</t>
  </si>
  <si>
    <t xml:space="preserve">個資</t>
  </si>
  <si>
    <t xml:space="preserve">交回檔案時，被量測者可以用「阿嬤」「同學」代稱，不需要寫真實姓名。</t>
  </si>
  <si>
    <t xml:space="preserve">格子顏色</t>
  </si>
  <si>
    <t xml:space="preserve">淺黃底、藍字＝要填的格子；灰底斜體＝範例；黑字＝公式；綠字＝從其他工作表帶入的結果；紅底＝超過文獻門檻。</t>
  </si>
  <si>
    <t xml:space="preserve">文獻</t>
  </si>
  <si>
    <r>
      <rPr>
        <sz val="10"/>
        <color rgb="FF595959"/>
        <rFont val="WenQuanYi Zen Hei"/>
        <family val="2"/>
      </rPr>
      <t xml:space="preserve">依據：衛生福利部國民健康署（</t>
    </r>
    <r>
      <rPr>
        <sz val="10"/>
        <color rgb="FF595959"/>
        <rFont val="Arial"/>
        <family val="0"/>
        <charset val="1"/>
      </rPr>
      <t xml:space="preserve">2023-05-15</t>
    </r>
    <r>
      <rPr>
        <sz val="10"/>
        <color rgb="FF595959"/>
        <rFont val="WenQuanYi Zen Hei"/>
        <family val="2"/>
      </rPr>
      <t xml:space="preserve">）量血壓「</t>
    </r>
    <r>
      <rPr>
        <sz val="10"/>
        <color rgb="FF595959"/>
        <rFont val="Arial"/>
        <family val="0"/>
        <charset val="1"/>
      </rPr>
      <t xml:space="preserve">722</t>
    </r>
    <r>
      <rPr>
        <sz val="10"/>
        <color rgb="FF595959"/>
        <rFont val="WenQuanYi Zen Hei"/>
        <family val="2"/>
      </rPr>
      <t xml:space="preserve">」原則，</t>
    </r>
    <r>
      <rPr>
        <sz val="10"/>
        <color rgb="FF595959"/>
        <rFont val="Arial"/>
        <family val="0"/>
        <charset val="1"/>
      </rPr>
      <t xml:space="preserve">https://www.mohw.gov.tw/cp-16-74604-1.html</t>
    </r>
  </si>
  <si>
    <r>
      <rPr>
        <sz val="10"/>
        <color rgb="FF595959"/>
        <rFont val="WenQuanYi Zen Hei"/>
        <family val="2"/>
      </rPr>
      <t xml:space="preserve">步驟依據：</t>
    </r>
    <r>
      <rPr>
        <sz val="10"/>
        <color rgb="FF595959"/>
        <rFont val="Arial"/>
        <family val="0"/>
        <charset val="1"/>
      </rPr>
      <t xml:space="preserve">CDC STEADI</t>
    </r>
    <r>
      <rPr>
        <sz val="10"/>
        <color rgb="FF595959"/>
        <rFont val="WenQuanYi Zen Hei"/>
        <family val="2"/>
      </rPr>
      <t xml:space="preserve">（</t>
    </r>
    <r>
      <rPr>
        <sz val="10"/>
        <color rgb="FF595959"/>
        <rFont val="Arial"/>
        <family val="0"/>
        <charset val="1"/>
      </rPr>
      <t xml:space="preserve">2017</t>
    </r>
    <r>
      <rPr>
        <sz val="10"/>
        <color rgb="FF595959"/>
        <rFont val="WenQuanYi Zen Hei"/>
        <family val="2"/>
      </rPr>
      <t xml:space="preserve">）</t>
    </r>
    <r>
      <rPr>
        <sz val="10"/>
        <color rgb="FF595959"/>
        <rFont val="Arial"/>
        <family val="0"/>
        <charset val="1"/>
      </rPr>
      <t xml:space="preserve">Measuring Orthostatic Blood Pressure</t>
    </r>
    <r>
      <rPr>
        <sz val="10"/>
        <color rgb="FF595959"/>
        <rFont val="WenQuanYi Zen Hei"/>
        <family val="2"/>
      </rPr>
      <t xml:space="preserve">，</t>
    </r>
    <r>
      <rPr>
        <sz val="10"/>
        <color rgb="FF595959"/>
        <rFont val="Arial"/>
        <family val="0"/>
        <charset val="1"/>
      </rPr>
      <t xml:space="preserve">https://www.cdc.gov/steadi/media/pdfs/steadi-assessment-measuringbp-508.pdf</t>
    </r>
    <r>
      <rPr>
        <sz val="10"/>
        <color rgb="FF595959"/>
        <rFont val="WenQuanYi Zen Hei"/>
        <family val="2"/>
      </rPr>
      <t xml:space="preserve">；門檻依據：臺大醫院健康電子報（</t>
    </r>
    <r>
      <rPr>
        <sz val="10"/>
        <color rgb="FF595959"/>
        <rFont val="Arial"/>
        <family val="0"/>
        <charset val="1"/>
      </rPr>
      <t xml:space="preserve">2023-10</t>
    </r>
    <r>
      <rPr>
        <sz val="10"/>
        <color rgb="FF595959"/>
        <rFont val="WenQuanYi Zen Hei"/>
        <family val="2"/>
      </rPr>
      <t xml:space="preserve">，第 </t>
    </r>
    <r>
      <rPr>
        <sz val="10"/>
        <color rgb="FF595959"/>
        <rFont val="Arial"/>
        <family val="0"/>
        <charset val="1"/>
      </rPr>
      <t xml:space="preserve">215 </t>
    </r>
    <r>
      <rPr>
        <sz val="10"/>
        <color rgb="FF595959"/>
        <rFont val="WenQuanYi Zen Hei"/>
        <family val="2"/>
      </rPr>
      <t xml:space="preserve">期）姿勢性低血壓；</t>
    </r>
    <r>
      <rPr>
        <sz val="10"/>
        <color rgb="FF595959"/>
        <rFont val="Arial"/>
        <family val="0"/>
        <charset val="1"/>
      </rPr>
      <t xml:space="preserve">Freeman R, et al. Clin Auton Res 2011;21(2):69–72</t>
    </r>
  </si>
  <si>
    <r>
      <rPr>
        <sz val="10"/>
        <color rgb="FF595959"/>
        <rFont val="WenQuanYi Zen Hei"/>
        <family val="2"/>
      </rPr>
      <t xml:space="preserve">依據：</t>
    </r>
    <r>
      <rPr>
        <sz val="10"/>
        <color rgb="FF595959"/>
        <rFont val="Arial"/>
        <family val="0"/>
        <charset val="1"/>
      </rPr>
      <t xml:space="preserve">Vaughan CP, et al. Int J Clin Pract 2010;64(5):577–583</t>
    </r>
    <r>
      <rPr>
        <sz val="10"/>
        <color rgb="FF595959"/>
        <rFont val="WenQuanYi Zen Hei"/>
        <family val="2"/>
      </rPr>
      <t xml:space="preserve">（每晚 ≥ </t>
    </r>
    <r>
      <rPr>
        <sz val="10"/>
        <color rgb="FF595959"/>
        <rFont val="Arial"/>
        <family val="0"/>
        <charset val="1"/>
      </rPr>
      <t xml:space="preserve">3 </t>
    </r>
    <r>
      <rPr>
        <sz val="10"/>
        <color rgb="FF595959"/>
        <rFont val="WenQuanYi Zen Hei"/>
        <family val="2"/>
      </rPr>
      <t xml:space="preserve">次夜尿與跌倒風險）；提醒條件為本設計的規則</t>
    </r>
  </si>
  <si>
    <r>
      <rPr>
        <b val="true"/>
        <sz val="16"/>
        <rFont val="WenQuanYi Zen Hei"/>
        <family val="2"/>
      </rPr>
      <t xml:space="preserve">血壓 </t>
    </r>
    <r>
      <rPr>
        <b val="true"/>
        <sz val="16"/>
        <rFont val="Arial"/>
        <family val="0"/>
        <charset val="1"/>
      </rPr>
      <t xml:space="preserve">7 </t>
    </r>
    <r>
      <rPr>
        <b val="true"/>
        <sz val="16"/>
        <rFont val="WenQuanYi Zen Hei"/>
        <family val="2"/>
      </rPr>
      <t xml:space="preserve">天紀錄（</t>
    </r>
    <r>
      <rPr>
        <b val="true"/>
        <sz val="16"/>
        <rFont val="Arial"/>
        <family val="0"/>
        <charset val="1"/>
      </rPr>
      <t xml:space="preserve">722 </t>
    </r>
    <r>
      <rPr>
        <b val="true"/>
        <sz val="16"/>
        <rFont val="WenQuanYi Zen Hei"/>
        <family val="2"/>
      </rPr>
      <t xml:space="preserve">原則）</t>
    </r>
  </si>
  <si>
    <r>
      <rPr>
        <sz val="10"/>
        <color rgb="FF595959"/>
        <rFont val="WenQuanYi Zen Hei"/>
        <family val="2"/>
      </rPr>
      <t xml:space="preserve">連續 </t>
    </r>
    <r>
      <rPr>
        <sz val="10"/>
        <color rgb="FF595959"/>
        <rFont val="Arial"/>
        <family val="0"/>
        <charset val="1"/>
      </rPr>
      <t xml:space="preserve">7 </t>
    </r>
    <r>
      <rPr>
        <sz val="10"/>
        <color rgb="FF595959"/>
        <rFont val="WenQuanYi Zen Hei"/>
        <family val="2"/>
      </rPr>
      <t xml:space="preserve">天、早晚各一次、每次量 </t>
    </r>
    <r>
      <rPr>
        <sz val="10"/>
        <color rgb="FF595959"/>
        <rFont val="Arial"/>
        <family val="0"/>
        <charset val="1"/>
      </rPr>
      <t xml:space="preserve">2 </t>
    </r>
    <r>
      <rPr>
        <sz val="10"/>
        <color rgb="FF595959"/>
        <rFont val="WenQuanYi Zen Hei"/>
        <family val="2"/>
      </rPr>
      <t xml:space="preserve">遍。單位：收縮壓、舒張壓 </t>
    </r>
    <r>
      <rPr>
        <sz val="10"/>
        <color rgb="FF595959"/>
        <rFont val="Arial"/>
        <family val="0"/>
        <charset val="1"/>
      </rPr>
      <t xml:space="preserve">mmHg</t>
    </r>
    <r>
      <rPr>
        <sz val="10"/>
        <color rgb="FF595959"/>
        <rFont val="WenQuanYi Zen Hei"/>
        <family val="2"/>
      </rPr>
      <t xml:space="preserve">；脈搏 次</t>
    </r>
    <r>
      <rPr>
        <sz val="10"/>
        <color rgb="FF595959"/>
        <rFont val="Arial"/>
        <family val="0"/>
        <charset val="1"/>
      </rPr>
      <t xml:space="preserve">/</t>
    </r>
    <r>
      <rPr>
        <sz val="10"/>
        <color rgb="FF595959"/>
        <rFont val="WenQuanYi Zen Hei"/>
        <family val="2"/>
      </rPr>
      <t xml:space="preserve">分。依據：衛生福利部國民健康署（</t>
    </r>
    <r>
      <rPr>
        <sz val="10"/>
        <color rgb="FF595959"/>
        <rFont val="Arial"/>
        <family val="0"/>
        <charset val="1"/>
      </rPr>
      <t xml:space="preserve">2023-05-15</t>
    </r>
    <r>
      <rPr>
        <sz val="10"/>
        <color rgb="FF595959"/>
        <rFont val="WenQuanYi Zen Hei"/>
        <family val="2"/>
      </rPr>
      <t xml:space="preserve">）量血壓「</t>
    </r>
    <r>
      <rPr>
        <sz val="10"/>
        <color rgb="FF595959"/>
        <rFont val="Arial"/>
        <family val="0"/>
        <charset val="1"/>
      </rPr>
      <t xml:space="preserve">722</t>
    </r>
    <r>
      <rPr>
        <sz val="10"/>
        <color rgb="FF595959"/>
        <rFont val="WenQuanYi Zen Hei"/>
        <family val="2"/>
      </rPr>
      <t xml:space="preserve">」原則，</t>
    </r>
    <r>
      <rPr>
        <sz val="10"/>
        <color rgb="FF595959"/>
        <rFont val="Arial"/>
        <family val="0"/>
        <charset val="1"/>
      </rPr>
      <t xml:space="preserve">https://www.mohw.gov.tw/cp-16-74604-1.html</t>
    </r>
  </si>
  <si>
    <t xml:space="preserve">量測</t>
  </si>
  <si>
    <r>
      <rPr>
        <b val="true"/>
        <sz val="11"/>
        <color rgb="FFFFFFFF"/>
        <rFont val="WenQuanYi Zen Hei"/>
        <family val="2"/>
      </rPr>
      <t xml:space="preserve">第 </t>
    </r>
    <r>
      <rPr>
        <b val="true"/>
        <sz val="11"/>
        <color rgb="FFFFFFFF"/>
        <rFont val="Arial"/>
        <family val="0"/>
        <charset val="1"/>
      </rPr>
      <t xml:space="preserve">1 </t>
    </r>
    <r>
      <rPr>
        <b val="true"/>
        <sz val="11"/>
        <color rgb="FFFFFFFF"/>
        <rFont val="WenQuanYi Zen Hei"/>
        <family val="2"/>
      </rPr>
      <t xml:space="preserve">遍</t>
    </r>
  </si>
  <si>
    <r>
      <rPr>
        <b val="true"/>
        <sz val="11"/>
        <color rgb="FFFFFFFF"/>
        <rFont val="WenQuanYi Zen Hei"/>
        <family val="2"/>
      </rPr>
      <t xml:space="preserve">第 </t>
    </r>
    <r>
      <rPr>
        <b val="true"/>
        <sz val="11"/>
        <color rgb="FFFFFFFF"/>
        <rFont val="Arial"/>
        <family val="0"/>
        <charset val="1"/>
      </rPr>
      <t xml:space="preserve">2 </t>
    </r>
    <r>
      <rPr>
        <b val="true"/>
        <sz val="11"/>
        <color rgb="FFFFFFFF"/>
        <rFont val="WenQuanYi Zen Hei"/>
        <family val="2"/>
      </rPr>
      <t xml:space="preserve">遍</t>
    </r>
  </si>
  <si>
    <t xml:space="preserve">本次平均（自動）</t>
  </si>
  <si>
    <t xml:space="preserve">天</t>
  </si>
  <si>
    <t xml:space="preserve">日期</t>
  </si>
  <si>
    <t xml:space="preserve">時段</t>
  </si>
  <si>
    <t xml:space="preserve">時間</t>
  </si>
  <si>
    <t xml:space="preserve">收縮壓</t>
  </si>
  <si>
    <t xml:space="preserve">舒張壓</t>
  </si>
  <si>
    <t xml:space="preserve">脈搏</t>
  </si>
  <si>
    <t xml:space="preserve">備註</t>
  </si>
  <si>
    <t xml:space="preserve">範例</t>
  </si>
  <si>
    <t xml:space="preserve">2026-12-01</t>
  </si>
  <si>
    <t xml:space="preserve">早</t>
  </si>
  <si>
    <t xml:space="preserve">07:10</t>
  </si>
  <si>
    <t xml:space="preserve">範例列不計入</t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</si>
  <si>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天</t>
    </r>
  </si>
  <si>
    <t xml:space="preserve">晚</t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</si>
  <si>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天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</si>
  <si>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天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</si>
  <si>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天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</si>
  <si>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天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</si>
  <si>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天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</si>
  <si>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天</t>
    </r>
  </si>
  <si>
    <t xml:space="preserve">完成次數</t>
  </si>
  <si>
    <r>
      <rPr>
        <sz val="10"/>
        <color rgb="FF595959"/>
        <rFont val="WenQuanYi Zen Hei"/>
        <family val="2"/>
      </rPr>
      <t xml:space="preserve">共 </t>
    </r>
    <r>
      <rPr>
        <sz val="10"/>
        <color rgb="FF595959"/>
        <rFont val="Arial"/>
        <family val="0"/>
        <charset val="1"/>
      </rPr>
      <t xml:space="preserve">14 </t>
    </r>
    <r>
      <rPr>
        <sz val="10"/>
        <color rgb="FF595959"/>
        <rFont val="WenQuanYi Zen Hei"/>
        <family val="2"/>
      </rPr>
      <t xml:space="preserve">次（</t>
    </r>
    <r>
      <rPr>
        <sz val="10"/>
        <color rgb="FF595959"/>
        <rFont val="Arial"/>
        <family val="0"/>
        <charset val="1"/>
      </rPr>
      <t xml:space="preserve">7 </t>
    </r>
    <r>
      <rPr>
        <sz val="10"/>
        <color rgb="FF595959"/>
        <rFont val="WenQuanYi Zen Hei"/>
        <family val="2"/>
      </rPr>
      <t xml:space="preserve">天 </t>
    </r>
    <r>
      <rPr>
        <sz val="10"/>
        <color rgb="FF595959"/>
        <rFont val="Arial"/>
        <family val="0"/>
        <charset val="1"/>
      </rPr>
      <t xml:space="preserve">× </t>
    </r>
    <r>
      <rPr>
        <sz val="10"/>
        <color rgb="FF595959"/>
        <rFont val="WenQuanYi Zen Hei"/>
        <family val="2"/>
      </rPr>
      <t xml:space="preserve">早晚）</t>
    </r>
  </si>
  <si>
    <t xml:space="preserve">平均收縮壓</t>
  </si>
  <si>
    <t xml:space="preserve">mmHg</t>
  </si>
  <si>
    <t xml:space="preserve">平均舒張壓</t>
  </si>
  <si>
    <t xml:space="preserve">平均脈搏</t>
  </si>
  <si>
    <r>
      <rPr>
        <sz val="10"/>
        <color rgb="FF595959"/>
        <rFont val="WenQuanYi Zen Hei"/>
        <family val="2"/>
      </rPr>
      <t xml:space="preserve">次</t>
    </r>
    <r>
      <rPr>
        <sz val="10"/>
        <color rgb="FF595959"/>
        <rFont val="Arial"/>
        <family val="0"/>
        <charset val="1"/>
      </rPr>
      <t xml:space="preserve">/</t>
    </r>
    <r>
      <rPr>
        <sz val="10"/>
        <color rgb="FF595959"/>
        <rFont val="WenQuanYi Zen Hei"/>
        <family val="2"/>
      </rPr>
      <t xml:space="preserve">分</t>
    </r>
  </si>
  <si>
    <t xml:space="preserve">判斷</t>
  </si>
  <si>
    <r>
      <rPr>
        <b val="true"/>
        <sz val="16"/>
        <rFont val="WenQuanYi Zen Hei"/>
        <family val="2"/>
      </rPr>
      <t xml:space="preserve">臥站血壓（每週 </t>
    </r>
    <r>
      <rPr>
        <b val="true"/>
        <sz val="16"/>
        <rFont val="Arial"/>
        <family val="0"/>
        <charset val="1"/>
      </rPr>
      <t xml:space="preserve">1 </t>
    </r>
    <r>
      <rPr>
        <b val="true"/>
        <sz val="16"/>
        <rFont val="WenQuanYi Zen Hei"/>
        <family val="2"/>
      </rPr>
      <t xml:space="preserve">次，共 </t>
    </r>
    <r>
      <rPr>
        <b val="true"/>
        <sz val="16"/>
        <rFont val="Arial"/>
        <family val="0"/>
        <charset val="1"/>
      </rPr>
      <t xml:space="preserve">4 </t>
    </r>
    <r>
      <rPr>
        <b val="true"/>
        <sz val="16"/>
        <rFont val="WenQuanYi Zen Hei"/>
        <family val="2"/>
      </rPr>
      <t xml:space="preserve">次）</t>
    </r>
  </si>
  <si>
    <r>
      <rPr>
        <sz val="10"/>
        <color rgb="FF595959"/>
        <rFont val="WenQuanYi Zen Hei"/>
        <family val="2"/>
      </rPr>
      <t xml:space="preserve">平躺休息 </t>
    </r>
    <r>
      <rPr>
        <sz val="10"/>
        <color rgb="FF595959"/>
        <rFont val="Arial"/>
        <family val="0"/>
        <charset val="1"/>
      </rPr>
      <t xml:space="preserve">5 </t>
    </r>
    <r>
      <rPr>
        <sz val="10"/>
        <color rgb="FF595959"/>
        <rFont val="WenQuanYi Zen Hei"/>
        <family val="2"/>
      </rPr>
      <t xml:space="preserve">分鐘後量，再站起 </t>
    </r>
    <r>
      <rPr>
        <sz val="10"/>
        <color rgb="FF595959"/>
        <rFont val="Arial"/>
        <family val="0"/>
        <charset val="1"/>
      </rPr>
      <t xml:space="preserve">1 </t>
    </r>
    <r>
      <rPr>
        <sz val="10"/>
        <color rgb="FF595959"/>
        <rFont val="WenQuanYi Zen Hei"/>
        <family val="2"/>
      </rPr>
      <t xml:space="preserve">分鐘、</t>
    </r>
    <r>
      <rPr>
        <sz val="10"/>
        <color rgb="FF595959"/>
        <rFont val="Arial"/>
        <family val="0"/>
        <charset val="1"/>
      </rPr>
      <t xml:space="preserve">3 </t>
    </r>
    <r>
      <rPr>
        <sz val="10"/>
        <color rgb="FF595959"/>
        <rFont val="WenQuanYi Zen Hei"/>
        <family val="2"/>
      </rPr>
      <t xml:space="preserve">分鐘各量一次。站起時要有人扶，頭暈就坐下停止。步驟依據：</t>
    </r>
    <r>
      <rPr>
        <sz val="10"/>
        <color rgb="FF595959"/>
        <rFont val="Arial"/>
        <family val="0"/>
        <charset val="1"/>
      </rPr>
      <t xml:space="preserve">CDC STEADI</t>
    </r>
    <r>
      <rPr>
        <sz val="10"/>
        <color rgb="FF595959"/>
        <rFont val="WenQuanYi Zen Hei"/>
        <family val="2"/>
      </rPr>
      <t xml:space="preserve">（</t>
    </r>
    <r>
      <rPr>
        <sz val="10"/>
        <color rgb="FF595959"/>
        <rFont val="Arial"/>
        <family val="0"/>
        <charset val="1"/>
      </rPr>
      <t xml:space="preserve">2017</t>
    </r>
    <r>
      <rPr>
        <sz val="10"/>
        <color rgb="FF595959"/>
        <rFont val="WenQuanYi Zen Hei"/>
        <family val="2"/>
      </rPr>
      <t xml:space="preserve">）</t>
    </r>
    <r>
      <rPr>
        <sz val="10"/>
        <color rgb="FF595959"/>
        <rFont val="Arial"/>
        <family val="0"/>
        <charset val="1"/>
      </rPr>
      <t xml:space="preserve">Measuring Orthostatic Blood Pressure</t>
    </r>
    <r>
      <rPr>
        <sz val="10"/>
        <color rgb="FF595959"/>
        <rFont val="WenQuanYi Zen Hei"/>
        <family val="2"/>
      </rPr>
      <t xml:space="preserve">，</t>
    </r>
    <r>
      <rPr>
        <sz val="10"/>
        <color rgb="FF595959"/>
        <rFont val="Arial"/>
        <family val="0"/>
        <charset val="1"/>
      </rPr>
      <t xml:space="preserve">https://www.cdc.gov/steadi/media/pdfs/steadi-assessment-measuringbp-508.pdf</t>
    </r>
    <r>
      <rPr>
        <sz val="10"/>
        <color rgb="FF595959"/>
        <rFont val="WenQuanYi Zen Hei"/>
        <family val="2"/>
      </rPr>
      <t xml:space="preserve">；門檻依據：臺大醫院健康電子報（</t>
    </r>
    <r>
      <rPr>
        <sz val="10"/>
        <color rgb="FF595959"/>
        <rFont val="Arial"/>
        <family val="0"/>
        <charset val="1"/>
      </rPr>
      <t xml:space="preserve">2023-10</t>
    </r>
    <r>
      <rPr>
        <sz val="10"/>
        <color rgb="FF595959"/>
        <rFont val="WenQuanYi Zen Hei"/>
        <family val="2"/>
      </rPr>
      <t xml:space="preserve">，第 </t>
    </r>
    <r>
      <rPr>
        <sz val="10"/>
        <color rgb="FF595959"/>
        <rFont val="Arial"/>
        <family val="0"/>
        <charset val="1"/>
      </rPr>
      <t xml:space="preserve">215 </t>
    </r>
    <r>
      <rPr>
        <sz val="10"/>
        <color rgb="FF595959"/>
        <rFont val="WenQuanYi Zen Hei"/>
        <family val="2"/>
      </rPr>
      <t xml:space="preserve">期）姿勢性低血壓；</t>
    </r>
    <r>
      <rPr>
        <sz val="10"/>
        <color rgb="FF595959"/>
        <rFont val="Arial"/>
        <family val="0"/>
        <charset val="1"/>
      </rPr>
      <t xml:space="preserve">Freeman R, et al. Clin Auton Res 2011;21(2):69–72</t>
    </r>
  </si>
  <si>
    <r>
      <rPr>
        <b val="true"/>
        <sz val="11"/>
        <color rgb="FFFFFFFF"/>
        <rFont val="WenQuanYi Zen Hei"/>
        <family val="2"/>
      </rPr>
      <t xml:space="preserve">平躺 </t>
    </r>
    <r>
      <rPr>
        <b val="true"/>
        <sz val="11"/>
        <color rgb="FFFFFFFF"/>
        <rFont val="Arial"/>
        <family val="0"/>
        <charset val="1"/>
      </rPr>
      <t xml:space="preserve">5 </t>
    </r>
    <r>
      <rPr>
        <b val="true"/>
        <sz val="11"/>
        <color rgb="FFFFFFFF"/>
        <rFont val="WenQuanYi Zen Hei"/>
        <family val="2"/>
      </rPr>
      <t xml:space="preserve">分鐘</t>
    </r>
  </si>
  <si>
    <r>
      <rPr>
        <b val="true"/>
        <sz val="11"/>
        <color rgb="FFFFFFFF"/>
        <rFont val="WenQuanYi Zen Hei"/>
        <family val="2"/>
      </rPr>
      <t xml:space="preserve">站起 </t>
    </r>
    <r>
      <rPr>
        <b val="true"/>
        <sz val="11"/>
        <color rgb="FFFFFFFF"/>
        <rFont val="Arial"/>
        <family val="0"/>
        <charset val="1"/>
      </rPr>
      <t xml:space="preserve">1 </t>
    </r>
    <r>
      <rPr>
        <b val="true"/>
        <sz val="11"/>
        <color rgb="FFFFFFFF"/>
        <rFont val="WenQuanYi Zen Hei"/>
        <family val="2"/>
      </rPr>
      <t xml:space="preserve">分鐘</t>
    </r>
  </si>
  <si>
    <r>
      <rPr>
        <b val="true"/>
        <sz val="11"/>
        <color rgb="FFFFFFFF"/>
        <rFont val="WenQuanYi Zen Hei"/>
        <family val="2"/>
      </rPr>
      <t xml:space="preserve">站起 </t>
    </r>
    <r>
      <rPr>
        <b val="true"/>
        <sz val="11"/>
        <color rgb="FFFFFFFF"/>
        <rFont val="Arial"/>
        <family val="0"/>
        <charset val="1"/>
      </rPr>
      <t xml:space="preserve">3 </t>
    </r>
    <r>
      <rPr>
        <b val="true"/>
        <sz val="11"/>
        <color rgb="FFFFFFFF"/>
        <rFont val="WenQuanYi Zen Hei"/>
        <family val="2"/>
      </rPr>
      <t xml:space="preserve">分鐘</t>
    </r>
  </si>
  <si>
    <t xml:space="preserve">最大下降（自動）</t>
  </si>
  <si>
    <t xml:space="preserve">自動</t>
  </si>
  <si>
    <t xml:space="preserve">次數</t>
  </si>
  <si>
    <t xml:space="preserve">收縮壓下降</t>
  </si>
  <si>
    <t xml:space="preserve">舒張壓下降</t>
  </si>
  <si>
    <t xml:space="preserve">站起時頭暈</t>
  </si>
  <si>
    <t xml:space="preserve">2026-12-02</t>
  </si>
  <si>
    <t xml:space="preserve">08:00</t>
  </si>
  <si>
    <t xml:space="preserve">否</t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</si>
  <si>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週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</si>
  <si>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週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</si>
  <si>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週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</si>
  <si>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週</t>
    </r>
  </si>
  <si>
    <r>
      <rPr>
        <sz val="10"/>
        <color rgb="FF595959"/>
        <rFont val="WenQuanYi Zen Hei"/>
        <family val="2"/>
      </rPr>
      <t xml:space="preserve">共 </t>
    </r>
    <r>
      <rPr>
        <sz val="10"/>
        <color rgb="FF595959"/>
        <rFont val="Arial"/>
        <family val="0"/>
        <charset val="1"/>
      </rPr>
      <t xml:space="preserve">4 </t>
    </r>
    <r>
      <rPr>
        <sz val="10"/>
        <color rgb="FF595959"/>
        <rFont val="WenQuanYi Zen Hei"/>
        <family val="2"/>
      </rPr>
      <t xml:space="preserve">次</t>
    </r>
  </si>
  <si>
    <t xml:space="preserve">收縮壓最大下降</t>
  </si>
  <si>
    <r>
      <rPr>
        <sz val="10"/>
        <color rgb="FF595959"/>
        <rFont val="Arial"/>
        <family val="0"/>
        <charset val="1"/>
      </rPr>
      <t xml:space="preserve">mmHg</t>
    </r>
    <r>
      <rPr>
        <sz val="10"/>
        <color rgb="FF595959"/>
        <rFont val="WenQuanYi Zen Hei"/>
        <family val="2"/>
      </rPr>
      <t xml:space="preserve">（門檻 ≥ </t>
    </r>
    <r>
      <rPr>
        <sz val="10"/>
        <color rgb="FF595959"/>
        <rFont val="Arial"/>
        <family val="0"/>
        <charset val="1"/>
      </rPr>
      <t xml:space="preserve">20</t>
    </r>
    <r>
      <rPr>
        <sz val="10"/>
        <color rgb="FF595959"/>
        <rFont val="WenQuanYi Zen Hei"/>
        <family val="2"/>
      </rPr>
      <t xml:space="preserve">）</t>
    </r>
  </si>
  <si>
    <t xml:space="preserve">舒張壓最大下降</t>
  </si>
  <si>
    <r>
      <rPr>
        <sz val="10"/>
        <color rgb="FF595959"/>
        <rFont val="Arial"/>
        <family val="0"/>
        <charset val="1"/>
      </rPr>
      <t xml:space="preserve">mmHg</t>
    </r>
    <r>
      <rPr>
        <sz val="10"/>
        <color rgb="FF595959"/>
        <rFont val="WenQuanYi Zen Hei"/>
        <family val="2"/>
      </rPr>
      <t xml:space="preserve">（門檻 ≥ </t>
    </r>
    <r>
      <rPr>
        <sz val="10"/>
        <color rgb="FF595959"/>
        <rFont val="Arial"/>
        <family val="0"/>
        <charset val="1"/>
      </rPr>
      <t xml:space="preserve">10</t>
    </r>
    <r>
      <rPr>
        <sz val="10"/>
        <color rgb="FF595959"/>
        <rFont val="WenQuanYi Zen Hei"/>
        <family val="2"/>
      </rPr>
      <t xml:space="preserve">）</t>
    </r>
  </si>
  <si>
    <t xml:space="preserve">符合定義的次數</t>
  </si>
  <si>
    <t xml:space="preserve">站起時頭暈的次數</t>
  </si>
  <si>
    <r>
      <rPr>
        <b val="true"/>
        <sz val="16"/>
        <rFont val="WenQuanYi Zen Hei"/>
        <family val="2"/>
      </rPr>
      <t xml:space="preserve">夜間如廁（連續 </t>
    </r>
    <r>
      <rPr>
        <b val="true"/>
        <sz val="16"/>
        <rFont val="Arial"/>
        <family val="0"/>
        <charset val="1"/>
      </rPr>
      <t xml:space="preserve">7 </t>
    </r>
    <r>
      <rPr>
        <b val="true"/>
        <sz val="16"/>
        <rFont val="WenQuanYi Zen Hei"/>
        <family val="2"/>
      </rPr>
      <t xml:space="preserve">晚）</t>
    </r>
  </si>
  <si>
    <r>
      <rPr>
        <sz val="10"/>
        <color rgb="FF595959"/>
        <rFont val="WenQuanYi Zen Hei"/>
        <family val="2"/>
      </rPr>
      <t xml:space="preserve">記錄上床、起床時間與半夜起來上廁所的次數。依據：</t>
    </r>
    <r>
      <rPr>
        <sz val="10"/>
        <color rgb="FF595959"/>
        <rFont val="Arial"/>
        <family val="0"/>
        <charset val="1"/>
      </rPr>
      <t xml:space="preserve">Vaughan CP, et al. Int J Clin Pract 2010;64(5):577–583</t>
    </r>
    <r>
      <rPr>
        <sz val="10"/>
        <color rgb="FF595959"/>
        <rFont val="WenQuanYi Zen Hei"/>
        <family val="2"/>
      </rPr>
      <t xml:space="preserve">（每晚 ≥ </t>
    </r>
    <r>
      <rPr>
        <sz val="10"/>
        <color rgb="FF595959"/>
        <rFont val="Arial"/>
        <family val="0"/>
        <charset val="1"/>
      </rPr>
      <t xml:space="preserve">3 </t>
    </r>
    <r>
      <rPr>
        <sz val="10"/>
        <color rgb="FF595959"/>
        <rFont val="WenQuanYi Zen Hei"/>
        <family val="2"/>
      </rPr>
      <t xml:space="preserve">次夜尿與跌倒風險）；提醒條件為本設計的規則</t>
    </r>
  </si>
  <si>
    <t xml:space="preserve">上床時間</t>
  </si>
  <si>
    <t xml:space="preserve">起床時間</t>
  </si>
  <si>
    <t xml:space="preserve">夜間如廁次數</t>
  </si>
  <si>
    <t xml:space="preserve">起身時頭暈</t>
  </si>
  <si>
    <t xml:space="preserve">22:30</t>
  </si>
  <si>
    <t xml:space="preserve">06:10</t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</si>
  <si>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晚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</si>
  <si>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晚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</si>
  <si>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晚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</si>
  <si>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晚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</si>
  <si>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晚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</si>
  <si>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晚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</si>
  <si>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晚</t>
    </r>
  </si>
  <si>
    <t xml:space="preserve">記錄晚數</t>
  </si>
  <si>
    <r>
      <rPr>
        <sz val="10"/>
        <color rgb="FF595959"/>
        <rFont val="WenQuanYi Zen Hei"/>
        <family val="2"/>
      </rPr>
      <t xml:space="preserve">共 </t>
    </r>
    <r>
      <rPr>
        <sz val="10"/>
        <color rgb="FF595959"/>
        <rFont val="Arial"/>
        <family val="0"/>
        <charset val="1"/>
      </rPr>
      <t xml:space="preserve">7 </t>
    </r>
    <r>
      <rPr>
        <sz val="10"/>
        <color rgb="FF595959"/>
        <rFont val="WenQuanYi Zen Hei"/>
        <family val="2"/>
      </rPr>
      <t xml:space="preserve">晚</t>
    </r>
  </si>
  <si>
    <t xml:space="preserve">平均每晚次數</t>
  </si>
  <si>
    <r>
      <rPr>
        <sz val="10"/>
        <color rgb="FF595959"/>
        <rFont val="WenQuanYi Zen Hei"/>
        <family val="2"/>
      </rPr>
      <t xml:space="preserve">次</t>
    </r>
    <r>
      <rPr>
        <sz val="10"/>
        <color rgb="FF595959"/>
        <rFont val="Arial"/>
        <family val="0"/>
        <charset val="1"/>
      </rPr>
      <t xml:space="preserve">/</t>
    </r>
    <r>
      <rPr>
        <sz val="10"/>
        <color rgb="FF595959"/>
        <rFont val="WenQuanYi Zen Hei"/>
        <family val="2"/>
      </rPr>
      <t xml:space="preserve">晚</t>
    </r>
  </si>
  <si>
    <r>
      <rPr>
        <b val="true"/>
        <sz val="11"/>
        <rFont val="Arial"/>
        <family val="0"/>
        <charset val="1"/>
      </rPr>
      <t xml:space="preserve">≥ 3 </t>
    </r>
    <r>
      <rPr>
        <b val="true"/>
        <sz val="11"/>
        <rFont val="WenQuanYi Zen Hei"/>
        <family val="2"/>
      </rPr>
      <t xml:space="preserve">次的晚數</t>
    </r>
  </si>
  <si>
    <t xml:space="preserve">起身頭暈的晚數</t>
  </si>
  <si>
    <r>
      <rPr>
        <b val="true"/>
        <sz val="16"/>
        <rFont val="WenQuanYi Zen Hei"/>
        <family val="2"/>
      </rPr>
      <t xml:space="preserve">洗澡時的浴室濕度（</t>
    </r>
    <r>
      <rPr>
        <b val="true"/>
        <sz val="16"/>
        <rFont val="Arial"/>
        <family val="0"/>
        <charset val="1"/>
      </rPr>
      <t xml:space="preserve">7 </t>
    </r>
    <r>
      <rPr>
        <b val="true"/>
        <sz val="16"/>
        <rFont val="WenQuanYi Zen Hei"/>
        <family val="2"/>
      </rPr>
      <t xml:space="preserve">次）</t>
    </r>
  </si>
  <si>
    <r>
      <rPr>
        <sz val="10"/>
        <color rgb="FF595959"/>
        <rFont val="WenQuanYi Zen Hei"/>
        <family val="2"/>
      </rPr>
      <t xml:space="preserve">用電子溫濕度計記錄。結果用來訂「濕度上升多少就判斷正在洗澡」的門檻。濕度單位 </t>
    </r>
    <r>
      <rPr>
        <sz val="10"/>
        <color rgb="FF595959"/>
        <rFont val="Arial"/>
        <family val="0"/>
        <charset val="1"/>
      </rPr>
      <t xml:space="preserve">%RH</t>
    </r>
    <r>
      <rPr>
        <sz val="10"/>
        <color rgb="FF595959"/>
        <rFont val="WenQuanYi Zen Hei"/>
        <family val="2"/>
      </rPr>
      <t xml:space="preserve">。</t>
    </r>
  </si>
  <si>
    <t xml:space="preserve">開始時間</t>
  </si>
  <si>
    <t xml:space="preserve">結束時間</t>
  </si>
  <si>
    <t xml:space="preserve">洗澡分鐘</t>
  </si>
  <si>
    <t xml:space="preserve">洗澡前濕度</t>
  </si>
  <si>
    <t xml:space="preserve">洗澡中最高濕度</t>
  </si>
  <si>
    <t xml:space="preserve">濕度上升</t>
  </si>
  <si>
    <r>
      <rPr>
        <b val="true"/>
        <sz val="11"/>
        <color rgb="FFFFFFFF"/>
        <rFont val="WenQuanYi Zen Hei"/>
        <family val="2"/>
      </rPr>
      <t xml:space="preserve">洗完 </t>
    </r>
    <r>
      <rPr>
        <b val="true"/>
        <sz val="11"/>
        <color rgb="FFFFFFFF"/>
        <rFont val="Arial"/>
        <family val="0"/>
        <charset val="1"/>
      </rPr>
      <t xml:space="preserve">10 </t>
    </r>
    <r>
      <rPr>
        <b val="true"/>
        <sz val="11"/>
        <color rgb="FFFFFFFF"/>
        <rFont val="WenQuanYi Zen Hei"/>
        <family val="2"/>
      </rPr>
      <t xml:space="preserve">分鐘後濕度</t>
    </r>
  </si>
  <si>
    <t xml:space="preserve">開窗或開排風扇</t>
  </si>
  <si>
    <r>
      <rPr>
        <b val="true"/>
        <sz val="11"/>
        <color rgb="FFFFFFFF"/>
        <rFont val="WenQuanYi Zen Hei"/>
        <family val="2"/>
      </rPr>
      <t xml:space="preserve">室溫 </t>
    </r>
    <r>
      <rPr>
        <b val="true"/>
        <sz val="11"/>
        <color rgb="FFFFFFFF"/>
        <rFont val="Arial"/>
        <family val="0"/>
        <charset val="1"/>
      </rPr>
      <t xml:space="preserve">°C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</si>
  <si>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</si>
  <si>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</si>
  <si>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</si>
  <si>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</si>
  <si>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</si>
  <si>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</si>
  <si>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第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</t>
    </r>
  </si>
  <si>
    <t xml:space="preserve">記錄次數</t>
  </si>
  <si>
    <r>
      <rPr>
        <sz val="10"/>
        <color rgb="FF595959"/>
        <rFont val="WenQuanYi Zen Hei"/>
        <family val="2"/>
      </rPr>
      <t xml:space="preserve">共 </t>
    </r>
    <r>
      <rPr>
        <sz val="10"/>
        <color rgb="FF595959"/>
        <rFont val="Arial"/>
        <family val="0"/>
        <charset val="1"/>
      </rPr>
      <t xml:space="preserve">7 </t>
    </r>
    <r>
      <rPr>
        <sz val="10"/>
        <color rgb="FF595959"/>
        <rFont val="WenQuanYi Zen Hei"/>
        <family val="2"/>
      </rPr>
      <t xml:space="preserve">次</t>
    </r>
  </si>
  <si>
    <t xml:space="preserve">平均洗澡分鐘</t>
  </si>
  <si>
    <t xml:space="preserve">分鐘</t>
  </si>
  <si>
    <t xml:space="preserve">平均濕度上升</t>
  </si>
  <si>
    <t xml:space="preserve">%RH</t>
  </si>
  <si>
    <t xml:space="preserve">最小濕度上升</t>
  </si>
  <si>
    <t xml:space="preserve">建議門檻</t>
  </si>
  <si>
    <r>
      <rPr>
        <sz val="10"/>
        <color rgb="FF595959"/>
        <rFont val="WenQuanYi Zen Hei"/>
        <family val="2"/>
      </rPr>
      <t xml:space="preserve">假設：取 </t>
    </r>
    <r>
      <rPr>
        <sz val="10"/>
        <color rgb="FF595959"/>
        <rFont val="Arial"/>
        <family val="0"/>
        <charset val="1"/>
      </rPr>
      <t xml:space="preserve">7 </t>
    </r>
    <r>
      <rPr>
        <sz val="10"/>
        <color rgb="FF595959"/>
        <rFont val="WenQuanYi Zen Hei"/>
        <family val="2"/>
      </rPr>
      <t xml:space="preserve">次中最小上升量的 </t>
    </r>
    <r>
      <rPr>
        <sz val="10"/>
        <color rgb="FF595959"/>
        <rFont val="Arial"/>
        <family val="0"/>
        <charset val="1"/>
      </rPr>
      <t xml:space="preserve">8 </t>
    </r>
    <r>
      <rPr>
        <sz val="10"/>
        <color rgb="FF595959"/>
        <rFont val="WenQuanYi Zen Hei"/>
        <family val="2"/>
      </rPr>
      <t xml:space="preserve">成，留一點誤差空間（本設計自訂，期末依資料調整）</t>
    </r>
  </si>
  <si>
    <r>
      <rPr>
        <b val="true"/>
        <sz val="16"/>
        <rFont val="WenQuanYi Zen Hei"/>
        <family val="2"/>
      </rPr>
      <t xml:space="preserve">實測結果摘要（自動帶入，期末報告第 </t>
    </r>
    <r>
      <rPr>
        <b val="true"/>
        <sz val="16"/>
        <rFont val="Arial"/>
        <family val="0"/>
        <charset val="1"/>
      </rPr>
      <t xml:space="preserve">6 </t>
    </r>
    <r>
      <rPr>
        <b val="true"/>
        <sz val="16"/>
        <rFont val="WenQuanYi Zen Hei"/>
        <family val="2"/>
      </rPr>
      <t xml:space="preserve">項使用）</t>
    </r>
  </si>
  <si>
    <t xml:space="preserve">項目</t>
  </si>
  <si>
    <t xml:space="preserve">結果</t>
  </si>
  <si>
    <t xml:space="preserve">文獻或規則</t>
  </si>
  <si>
    <r>
      <rPr>
        <b val="true"/>
        <sz val="11"/>
        <rFont val="WenQuanYi Zen Hei"/>
        <family val="2"/>
      </rPr>
      <t xml:space="preserve">血壓 </t>
    </r>
    <r>
      <rPr>
        <b val="true"/>
        <sz val="11"/>
        <rFont val="Arial"/>
        <family val="0"/>
        <charset val="1"/>
      </rPr>
      <t xml:space="preserve">7 </t>
    </r>
    <r>
      <rPr>
        <b val="true"/>
        <sz val="11"/>
        <rFont val="WenQuanYi Zen Hei"/>
        <family val="2"/>
      </rPr>
      <t xml:space="preserve">天平均</t>
    </r>
  </si>
  <si>
    <r>
      <rPr>
        <sz val="10"/>
        <color rgb="FF595959"/>
        <rFont val="WenQuanYi Zen Hei"/>
        <family val="2"/>
      </rPr>
      <t xml:space="preserve">國健署 </t>
    </r>
    <r>
      <rPr>
        <sz val="10"/>
        <color rgb="FF595959"/>
        <rFont val="Arial"/>
        <family val="0"/>
        <charset val="1"/>
      </rPr>
      <t xml:space="preserve">722 </t>
    </r>
    <r>
      <rPr>
        <sz val="10"/>
        <color rgb="FF595959"/>
        <rFont val="WenQuanYi Zen Hei"/>
        <family val="2"/>
      </rPr>
      <t xml:space="preserve">原則：居家平均 ≥ </t>
    </r>
    <r>
      <rPr>
        <sz val="10"/>
        <color rgb="FF595959"/>
        <rFont val="Arial"/>
        <family val="0"/>
        <charset val="1"/>
      </rPr>
      <t xml:space="preserve">130/80 mmHg </t>
    </r>
    <r>
      <rPr>
        <sz val="10"/>
        <color rgb="FF595959"/>
        <rFont val="WenQuanYi Zen Hei"/>
        <family val="2"/>
      </rPr>
      <t xml:space="preserve">要注意</t>
    </r>
  </si>
  <si>
    <t xml:space="preserve">血壓量測完成</t>
  </si>
  <si>
    <t xml:space="preserve">臥站血壓最大下降</t>
  </si>
  <si>
    <r>
      <rPr>
        <sz val="10"/>
        <color rgb="FF595959"/>
        <rFont val="WenQuanYi Zen Hei"/>
        <family val="2"/>
      </rPr>
      <t xml:space="preserve">站起 </t>
    </r>
    <r>
      <rPr>
        <sz val="10"/>
        <color rgb="FF595959"/>
        <rFont val="Arial"/>
        <family val="0"/>
        <charset val="1"/>
      </rPr>
      <t xml:space="preserve">3 </t>
    </r>
    <r>
      <rPr>
        <sz val="10"/>
        <color rgb="FF595959"/>
        <rFont val="WenQuanYi Zen Hei"/>
        <family val="2"/>
      </rPr>
      <t xml:space="preserve">分鐘內下降 ≥ </t>
    </r>
    <r>
      <rPr>
        <sz val="10"/>
        <color rgb="FF595959"/>
        <rFont val="Arial"/>
        <family val="0"/>
        <charset val="1"/>
      </rPr>
      <t xml:space="preserve">20</t>
    </r>
    <r>
      <rPr>
        <sz val="10"/>
        <color rgb="FF595959"/>
        <rFont val="WenQuanYi Zen Hei"/>
        <family val="2"/>
      </rPr>
      <t xml:space="preserve">／</t>
    </r>
    <r>
      <rPr>
        <sz val="10"/>
        <color rgb="FF595959"/>
        <rFont val="Arial"/>
        <family val="0"/>
        <charset val="1"/>
      </rPr>
      <t xml:space="preserve">10 mmHg</t>
    </r>
  </si>
  <si>
    <t xml:space="preserve">夜間如廁</t>
  </si>
  <si>
    <r>
      <rPr>
        <sz val="10"/>
        <color rgb="FF595959"/>
        <rFont val="WenQuanYi Zen Hei"/>
        <family val="2"/>
      </rPr>
      <t xml:space="preserve">每晚 ≥ </t>
    </r>
    <r>
      <rPr>
        <sz val="10"/>
        <color rgb="FF595959"/>
        <rFont val="Arial"/>
        <family val="0"/>
        <charset val="1"/>
      </rPr>
      <t xml:space="preserve">3 </t>
    </r>
    <r>
      <rPr>
        <sz val="10"/>
        <color rgb="FF595959"/>
        <rFont val="WenQuanYi Zen Hei"/>
        <family val="2"/>
      </rPr>
      <t xml:space="preserve">次，</t>
    </r>
    <r>
      <rPr>
        <sz val="10"/>
        <color rgb="FF595959"/>
        <rFont val="Arial"/>
        <family val="0"/>
        <charset val="1"/>
      </rPr>
      <t xml:space="preserve">3 </t>
    </r>
    <r>
      <rPr>
        <sz val="10"/>
        <color rgb="FF595959"/>
        <rFont val="WenQuanYi Zen Hei"/>
        <family val="2"/>
      </rPr>
      <t xml:space="preserve">年內跌倒風險較高（</t>
    </r>
    <r>
      <rPr>
        <sz val="10"/>
        <color rgb="FF595959"/>
        <rFont val="Arial"/>
        <family val="0"/>
        <charset val="1"/>
      </rPr>
      <t xml:space="preserve">Vaughan 2010</t>
    </r>
    <r>
      <rPr>
        <sz val="10"/>
        <color rgb="FF595959"/>
        <rFont val="WenQuanYi Zen Hei"/>
        <family val="2"/>
      </rPr>
      <t xml:space="preserve">）</t>
    </r>
  </si>
  <si>
    <t xml:space="preserve">洗澡時濕度上升</t>
  </si>
  <si>
    <t xml:space="preserve">本設計的洗澡判斷門檻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</si>
</sst>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yyyy\-mm\-dd"/>
    <numFmt numFmtId="167" formatCode="hh:mm"/>
    <numFmt numFmtId="168" formatCode="General"/>
    <numFmt numFmtId="169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WenQuanYi Zen Hei"/>
      <family val="2"/>
    </font>
    <font>
      <i val="true"/>
      <sz val="11"/>
      <color rgb="FF80808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1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1161D"/>
        <bgColor rgb="FF000000"/>
      </patternFill>
    </fill>
    <fill>
      <patternFill patternType="solid">
        <fgColor rgb="FFD9D9D9"/>
        <bgColor rgb="FFF8CBAD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1116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3" customFormat="false" ht="48" hidden="false" customHeight="true" outlineLevel="0" collapsed="false">
      <c r="A3" s="2" t="s">
        <v>1</v>
      </c>
      <c r="B3" s="3" t="s">
        <v>2</v>
      </c>
    </row>
    <row r="4" customFormat="false" ht="48" hidden="false" customHeight="true" outlineLevel="0" collapsed="false">
      <c r="A4" s="2" t="s">
        <v>3</v>
      </c>
      <c r="B4" s="3" t="s">
        <v>4</v>
      </c>
    </row>
    <row r="5" customFormat="false" ht="48" hidden="false" customHeight="true" outlineLevel="0" collapsed="false">
      <c r="A5" s="4" t="s">
        <v>5</v>
      </c>
      <c r="B5" s="3" t="s">
        <v>6</v>
      </c>
    </row>
    <row r="6" customFormat="false" ht="48" hidden="false" customHeight="true" outlineLevel="0" collapsed="false">
      <c r="A6" s="4" t="s">
        <v>7</v>
      </c>
      <c r="B6" s="3" t="s">
        <v>8</v>
      </c>
    </row>
    <row r="7" customFormat="false" ht="48" hidden="false" customHeight="true" outlineLevel="0" collapsed="false">
      <c r="A7" s="4" t="s">
        <v>9</v>
      </c>
      <c r="B7" s="3" t="s">
        <v>10</v>
      </c>
    </row>
    <row r="8" customFormat="false" ht="48" hidden="false" customHeight="true" outlineLevel="0" collapsed="false">
      <c r="A8" s="4" t="s">
        <v>11</v>
      </c>
      <c r="B8" s="5" t="s">
        <v>12</v>
      </c>
    </row>
    <row r="9" customFormat="false" ht="48" hidden="false" customHeight="true" outlineLevel="0" collapsed="false">
      <c r="A9" s="2" t="s">
        <v>13</v>
      </c>
      <c r="B9" s="3" t="s">
        <v>14</v>
      </c>
    </row>
    <row r="10" customFormat="false" ht="48" hidden="false" customHeight="true" outlineLevel="0" collapsed="false">
      <c r="A10" s="2" t="s">
        <v>15</v>
      </c>
      <c r="B10" s="3" t="s">
        <v>16</v>
      </c>
    </row>
    <row r="11" customFormat="false" ht="48" hidden="false" customHeight="true" outlineLevel="0" collapsed="false">
      <c r="A11" s="2" t="s">
        <v>17</v>
      </c>
      <c r="B11" s="3" t="s">
        <v>18</v>
      </c>
    </row>
    <row r="13" customFormat="false" ht="43.5" hidden="false" customHeight="true" outlineLevel="0" collapsed="false">
      <c r="A13" s="6" t="s">
        <v>19</v>
      </c>
      <c r="B13" s="7" t="s">
        <v>20</v>
      </c>
    </row>
    <row r="14" customFormat="false" ht="43.5" hidden="false" customHeight="true" outlineLevel="0" collapsed="false">
      <c r="B14" s="7" t="s">
        <v>21</v>
      </c>
    </row>
    <row r="15" customFormat="false" ht="43.5" hidden="false" customHeight="true" outlineLevel="0" collapsed="false">
      <c r="B15" s="7" t="s">
        <v>22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8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22"/>
  </cols>
  <sheetData>
    <row r="1" customFormat="false" ht="20.85" hidden="false" customHeight="false" outlineLevel="0" collapsed="false">
      <c r="A1" s="1" t="s">
        <v>23</v>
      </c>
    </row>
    <row r="2" customFormat="false" ht="45.75" hidden="false" customHeight="true" outlineLevel="0" collapsed="false">
      <c r="A2" s="8" t="s">
        <v>24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customFormat="false" ht="15" hidden="false" customHeight="true" outlineLevel="0" collapsed="false">
      <c r="A3" s="9" t="s">
        <v>25</v>
      </c>
      <c r="B3" s="9"/>
      <c r="C3" s="9"/>
      <c r="D3" s="9"/>
      <c r="E3" s="9" t="s">
        <v>26</v>
      </c>
      <c r="F3" s="9"/>
      <c r="G3" s="9"/>
      <c r="H3" s="9" t="s">
        <v>27</v>
      </c>
      <c r="I3" s="9"/>
      <c r="J3" s="9"/>
      <c r="K3" s="9" t="s">
        <v>28</v>
      </c>
      <c r="L3" s="9"/>
      <c r="M3" s="9"/>
      <c r="N3" s="10"/>
    </row>
    <row r="4" customFormat="false" ht="33.75" hidden="false" customHeight="true" outlineLevel="0" collapsed="false">
      <c r="A4" s="11" t="s">
        <v>29</v>
      </c>
      <c r="B4" s="11" t="s">
        <v>30</v>
      </c>
      <c r="C4" s="11" t="s">
        <v>31</v>
      </c>
      <c r="D4" s="11" t="s">
        <v>32</v>
      </c>
      <c r="E4" s="11" t="s">
        <v>33</v>
      </c>
      <c r="F4" s="11" t="s">
        <v>34</v>
      </c>
      <c r="G4" s="11" t="s">
        <v>35</v>
      </c>
      <c r="H4" s="11" t="s">
        <v>33</v>
      </c>
      <c r="I4" s="11" t="s">
        <v>34</v>
      </c>
      <c r="J4" s="11" t="s">
        <v>35</v>
      </c>
      <c r="K4" s="11" t="s">
        <v>33</v>
      </c>
      <c r="L4" s="11" t="s">
        <v>34</v>
      </c>
      <c r="M4" s="11" t="s">
        <v>35</v>
      </c>
      <c r="N4" s="11" t="s">
        <v>36</v>
      </c>
    </row>
    <row r="5" customFormat="false" ht="24" hidden="false" customHeight="true" outlineLevel="0" collapsed="false">
      <c r="A5" s="12" t="s">
        <v>37</v>
      </c>
      <c r="B5" s="13" t="s">
        <v>38</v>
      </c>
      <c r="C5" s="12" t="s">
        <v>39</v>
      </c>
      <c r="D5" s="13" t="s">
        <v>40</v>
      </c>
      <c r="E5" s="12" t="n">
        <v>128</v>
      </c>
      <c r="F5" s="12" t="n">
        <v>82</v>
      </c>
      <c r="G5" s="12" t="n">
        <v>72</v>
      </c>
      <c r="H5" s="12" t="n">
        <v>124</v>
      </c>
      <c r="I5" s="12" t="n">
        <v>80</v>
      </c>
      <c r="J5" s="12" t="n">
        <v>70</v>
      </c>
      <c r="K5" s="14" t="n">
        <f aca="false">IF(COUNT(E5,H5)=0,"",AVERAGE(E5,H5))</f>
        <v>126</v>
      </c>
      <c r="L5" s="14" t="n">
        <f aca="false">IF(COUNT(F5,I5)=0,"",AVERAGE(F5,I5))</f>
        <v>81</v>
      </c>
      <c r="M5" s="14" t="n">
        <f aca="false">IF(COUNT(G5,J5)=0,"",AVERAGE(G5,J5))</f>
        <v>71</v>
      </c>
      <c r="N5" s="12" t="s">
        <v>41</v>
      </c>
    </row>
    <row r="6" customFormat="false" ht="24" hidden="false" customHeight="true" outlineLevel="0" collapsed="false">
      <c r="A6" s="15" t="s">
        <v>42</v>
      </c>
      <c r="B6" s="16"/>
      <c r="C6" s="17" t="s">
        <v>39</v>
      </c>
      <c r="D6" s="18"/>
      <c r="E6" s="19"/>
      <c r="F6" s="19"/>
      <c r="G6" s="19"/>
      <c r="H6" s="19"/>
      <c r="I6" s="19"/>
      <c r="J6" s="19"/>
      <c r="K6" s="20" t="str">
        <f aca="false">IF(COUNT(E6,H6)=0,"",AVERAGE(E6,H6))</f>
        <v/>
      </c>
      <c r="L6" s="20" t="str">
        <f aca="false">IF(COUNT(F6,I6)=0,"",AVERAGE(F6,I6))</f>
        <v/>
      </c>
      <c r="M6" s="20" t="str">
        <f aca="false">IF(COUNT(G6,J6)=0,"",AVERAGE(G6,J6))</f>
        <v/>
      </c>
      <c r="N6" s="21"/>
    </row>
    <row r="7" customFormat="false" ht="24" hidden="false" customHeight="true" outlineLevel="0" collapsed="false">
      <c r="A7" s="15" t="s">
        <v>42</v>
      </c>
      <c r="B7" s="16"/>
      <c r="C7" s="17" t="s">
        <v>43</v>
      </c>
      <c r="D7" s="18"/>
      <c r="E7" s="19"/>
      <c r="F7" s="19"/>
      <c r="G7" s="19"/>
      <c r="H7" s="19"/>
      <c r="I7" s="19"/>
      <c r="J7" s="19"/>
      <c r="K7" s="20" t="str">
        <f aca="false">IF(COUNT(E7,H7)=0,"",AVERAGE(E7,H7))</f>
        <v/>
      </c>
      <c r="L7" s="20" t="str">
        <f aca="false">IF(COUNT(F7,I7)=0,"",AVERAGE(F7,I7))</f>
        <v/>
      </c>
      <c r="M7" s="20" t="str">
        <f aca="false">IF(COUNT(G7,J7)=0,"",AVERAGE(G7,J7))</f>
        <v/>
      </c>
      <c r="N7" s="21"/>
    </row>
    <row r="8" customFormat="false" ht="24" hidden="false" customHeight="true" outlineLevel="0" collapsed="false">
      <c r="A8" s="15" t="s">
        <v>44</v>
      </c>
      <c r="B8" s="16"/>
      <c r="C8" s="17" t="s">
        <v>39</v>
      </c>
      <c r="D8" s="18"/>
      <c r="E8" s="19"/>
      <c r="F8" s="19"/>
      <c r="G8" s="19"/>
      <c r="H8" s="19"/>
      <c r="I8" s="19"/>
      <c r="J8" s="19"/>
      <c r="K8" s="20" t="str">
        <f aca="false">IF(COUNT(E8,H8)=0,"",AVERAGE(E8,H8))</f>
        <v/>
      </c>
      <c r="L8" s="20" t="str">
        <f aca="false">IF(COUNT(F8,I8)=0,"",AVERAGE(F8,I8))</f>
        <v/>
      </c>
      <c r="M8" s="20" t="str">
        <f aca="false">IF(COUNT(G8,J8)=0,"",AVERAGE(G8,J8))</f>
        <v/>
      </c>
      <c r="N8" s="21"/>
    </row>
    <row r="9" customFormat="false" ht="24" hidden="false" customHeight="true" outlineLevel="0" collapsed="false">
      <c r="A9" s="15" t="s">
        <v>44</v>
      </c>
      <c r="B9" s="16"/>
      <c r="C9" s="17" t="s">
        <v>43</v>
      </c>
      <c r="D9" s="18"/>
      <c r="E9" s="19"/>
      <c r="F9" s="19"/>
      <c r="G9" s="19"/>
      <c r="H9" s="19"/>
      <c r="I9" s="19"/>
      <c r="J9" s="19"/>
      <c r="K9" s="20" t="str">
        <f aca="false">IF(COUNT(E9,H9)=0,"",AVERAGE(E9,H9))</f>
        <v/>
      </c>
      <c r="L9" s="20" t="str">
        <f aca="false">IF(COUNT(F9,I9)=0,"",AVERAGE(F9,I9))</f>
        <v/>
      </c>
      <c r="M9" s="20" t="str">
        <f aca="false">IF(COUNT(G9,J9)=0,"",AVERAGE(G9,J9))</f>
        <v/>
      </c>
      <c r="N9" s="21"/>
    </row>
    <row r="10" customFormat="false" ht="24" hidden="false" customHeight="true" outlineLevel="0" collapsed="false">
      <c r="A10" s="15" t="s">
        <v>45</v>
      </c>
      <c r="B10" s="16"/>
      <c r="C10" s="17" t="s">
        <v>39</v>
      </c>
      <c r="D10" s="18"/>
      <c r="E10" s="19"/>
      <c r="F10" s="19"/>
      <c r="G10" s="19"/>
      <c r="H10" s="19"/>
      <c r="I10" s="19"/>
      <c r="J10" s="19"/>
      <c r="K10" s="20" t="str">
        <f aca="false">IF(COUNT(E10,H10)=0,"",AVERAGE(E10,H10))</f>
        <v/>
      </c>
      <c r="L10" s="20" t="str">
        <f aca="false">IF(COUNT(F10,I10)=0,"",AVERAGE(F10,I10))</f>
        <v/>
      </c>
      <c r="M10" s="20" t="str">
        <f aca="false">IF(COUNT(G10,J10)=0,"",AVERAGE(G10,J10))</f>
        <v/>
      </c>
      <c r="N10" s="21"/>
    </row>
    <row r="11" customFormat="false" ht="24" hidden="false" customHeight="true" outlineLevel="0" collapsed="false">
      <c r="A11" s="15" t="s">
        <v>45</v>
      </c>
      <c r="B11" s="16"/>
      <c r="C11" s="17" t="s">
        <v>43</v>
      </c>
      <c r="D11" s="18"/>
      <c r="E11" s="19"/>
      <c r="F11" s="19"/>
      <c r="G11" s="19"/>
      <c r="H11" s="19"/>
      <c r="I11" s="19"/>
      <c r="J11" s="19"/>
      <c r="K11" s="20" t="str">
        <f aca="false">IF(COUNT(E11,H11)=0,"",AVERAGE(E11,H11))</f>
        <v/>
      </c>
      <c r="L11" s="20" t="str">
        <f aca="false">IF(COUNT(F11,I11)=0,"",AVERAGE(F11,I11))</f>
        <v/>
      </c>
      <c r="M11" s="20" t="str">
        <f aca="false">IF(COUNT(G11,J11)=0,"",AVERAGE(G11,J11))</f>
        <v/>
      </c>
      <c r="N11" s="21"/>
    </row>
    <row r="12" customFormat="false" ht="24" hidden="false" customHeight="true" outlineLevel="0" collapsed="false">
      <c r="A12" s="15" t="s">
        <v>46</v>
      </c>
      <c r="B12" s="16"/>
      <c r="C12" s="17" t="s">
        <v>39</v>
      </c>
      <c r="D12" s="18"/>
      <c r="E12" s="19"/>
      <c r="F12" s="19"/>
      <c r="G12" s="19"/>
      <c r="H12" s="19"/>
      <c r="I12" s="19"/>
      <c r="J12" s="19"/>
      <c r="K12" s="20" t="str">
        <f aca="false">IF(COUNT(E12,H12)=0,"",AVERAGE(E12,H12))</f>
        <v/>
      </c>
      <c r="L12" s="20" t="str">
        <f aca="false">IF(COUNT(F12,I12)=0,"",AVERAGE(F12,I12))</f>
        <v/>
      </c>
      <c r="M12" s="20" t="str">
        <f aca="false">IF(COUNT(G12,J12)=0,"",AVERAGE(G12,J12))</f>
        <v/>
      </c>
      <c r="N12" s="21"/>
    </row>
    <row r="13" customFormat="false" ht="24" hidden="false" customHeight="true" outlineLevel="0" collapsed="false">
      <c r="A13" s="15" t="s">
        <v>46</v>
      </c>
      <c r="B13" s="16"/>
      <c r="C13" s="17" t="s">
        <v>43</v>
      </c>
      <c r="D13" s="18"/>
      <c r="E13" s="19"/>
      <c r="F13" s="19"/>
      <c r="G13" s="19"/>
      <c r="H13" s="19"/>
      <c r="I13" s="19"/>
      <c r="J13" s="19"/>
      <c r="K13" s="20" t="str">
        <f aca="false">IF(COUNT(E13,H13)=0,"",AVERAGE(E13,H13))</f>
        <v/>
      </c>
      <c r="L13" s="20" t="str">
        <f aca="false">IF(COUNT(F13,I13)=0,"",AVERAGE(F13,I13))</f>
        <v/>
      </c>
      <c r="M13" s="20" t="str">
        <f aca="false">IF(COUNT(G13,J13)=0,"",AVERAGE(G13,J13))</f>
        <v/>
      </c>
      <c r="N13" s="21"/>
    </row>
    <row r="14" customFormat="false" ht="24" hidden="false" customHeight="true" outlineLevel="0" collapsed="false">
      <c r="A14" s="15" t="s">
        <v>47</v>
      </c>
      <c r="B14" s="16"/>
      <c r="C14" s="17" t="s">
        <v>39</v>
      </c>
      <c r="D14" s="18"/>
      <c r="E14" s="19"/>
      <c r="F14" s="19"/>
      <c r="G14" s="19"/>
      <c r="H14" s="19"/>
      <c r="I14" s="19"/>
      <c r="J14" s="19"/>
      <c r="K14" s="20" t="str">
        <f aca="false">IF(COUNT(E14,H14)=0,"",AVERAGE(E14,H14))</f>
        <v/>
      </c>
      <c r="L14" s="20" t="str">
        <f aca="false">IF(COUNT(F14,I14)=0,"",AVERAGE(F14,I14))</f>
        <v/>
      </c>
      <c r="M14" s="20" t="str">
        <f aca="false">IF(COUNT(G14,J14)=0,"",AVERAGE(G14,J14))</f>
        <v/>
      </c>
      <c r="N14" s="21"/>
    </row>
    <row r="15" customFormat="false" ht="24" hidden="false" customHeight="true" outlineLevel="0" collapsed="false">
      <c r="A15" s="15" t="s">
        <v>47</v>
      </c>
      <c r="B15" s="16"/>
      <c r="C15" s="17" t="s">
        <v>43</v>
      </c>
      <c r="D15" s="18"/>
      <c r="E15" s="19"/>
      <c r="F15" s="19"/>
      <c r="G15" s="19"/>
      <c r="H15" s="19"/>
      <c r="I15" s="19"/>
      <c r="J15" s="19"/>
      <c r="K15" s="20" t="str">
        <f aca="false">IF(COUNT(E15,H15)=0,"",AVERAGE(E15,H15))</f>
        <v/>
      </c>
      <c r="L15" s="20" t="str">
        <f aca="false">IF(COUNT(F15,I15)=0,"",AVERAGE(F15,I15))</f>
        <v/>
      </c>
      <c r="M15" s="20" t="str">
        <f aca="false">IF(COUNT(G15,J15)=0,"",AVERAGE(G15,J15))</f>
        <v/>
      </c>
      <c r="N15" s="21"/>
    </row>
    <row r="16" customFormat="false" ht="24" hidden="false" customHeight="true" outlineLevel="0" collapsed="false">
      <c r="A16" s="15" t="s">
        <v>48</v>
      </c>
      <c r="B16" s="16"/>
      <c r="C16" s="17" t="s">
        <v>39</v>
      </c>
      <c r="D16" s="18"/>
      <c r="E16" s="19"/>
      <c r="F16" s="19"/>
      <c r="G16" s="19"/>
      <c r="H16" s="19"/>
      <c r="I16" s="19"/>
      <c r="J16" s="19"/>
      <c r="K16" s="20" t="str">
        <f aca="false">IF(COUNT(E16,H16)=0,"",AVERAGE(E16,H16))</f>
        <v/>
      </c>
      <c r="L16" s="20" t="str">
        <f aca="false">IF(COUNT(F16,I16)=0,"",AVERAGE(F16,I16))</f>
        <v/>
      </c>
      <c r="M16" s="20" t="str">
        <f aca="false">IF(COUNT(G16,J16)=0,"",AVERAGE(G16,J16))</f>
        <v/>
      </c>
      <c r="N16" s="21"/>
    </row>
    <row r="17" customFormat="false" ht="24" hidden="false" customHeight="true" outlineLevel="0" collapsed="false">
      <c r="A17" s="15" t="s">
        <v>48</v>
      </c>
      <c r="B17" s="16"/>
      <c r="C17" s="17" t="s">
        <v>43</v>
      </c>
      <c r="D17" s="18"/>
      <c r="E17" s="19"/>
      <c r="F17" s="19"/>
      <c r="G17" s="19"/>
      <c r="H17" s="19"/>
      <c r="I17" s="19"/>
      <c r="J17" s="19"/>
      <c r="K17" s="20" t="str">
        <f aca="false">IF(COUNT(E17,H17)=0,"",AVERAGE(E17,H17))</f>
        <v/>
      </c>
      <c r="L17" s="20" t="str">
        <f aca="false">IF(COUNT(F17,I17)=0,"",AVERAGE(F17,I17))</f>
        <v/>
      </c>
      <c r="M17" s="20" t="str">
        <f aca="false">IF(COUNT(G17,J17)=0,"",AVERAGE(G17,J17))</f>
        <v/>
      </c>
      <c r="N17" s="21"/>
    </row>
    <row r="18" customFormat="false" ht="24" hidden="false" customHeight="true" outlineLevel="0" collapsed="false">
      <c r="A18" s="15" t="s">
        <v>49</v>
      </c>
      <c r="B18" s="16"/>
      <c r="C18" s="17" t="s">
        <v>39</v>
      </c>
      <c r="D18" s="18"/>
      <c r="E18" s="19"/>
      <c r="F18" s="19"/>
      <c r="G18" s="19"/>
      <c r="H18" s="19"/>
      <c r="I18" s="19"/>
      <c r="J18" s="19"/>
      <c r="K18" s="20" t="str">
        <f aca="false">IF(COUNT(E18,H18)=0,"",AVERAGE(E18,H18))</f>
        <v/>
      </c>
      <c r="L18" s="20" t="str">
        <f aca="false">IF(COUNT(F18,I18)=0,"",AVERAGE(F18,I18))</f>
        <v/>
      </c>
      <c r="M18" s="20" t="str">
        <f aca="false">IF(COUNT(G18,J18)=0,"",AVERAGE(G18,J18))</f>
        <v/>
      </c>
      <c r="N18" s="21"/>
    </row>
    <row r="19" customFormat="false" ht="24" hidden="false" customHeight="true" outlineLevel="0" collapsed="false">
      <c r="A19" s="15" t="s">
        <v>49</v>
      </c>
      <c r="B19" s="16"/>
      <c r="C19" s="17" t="s">
        <v>43</v>
      </c>
      <c r="D19" s="18"/>
      <c r="E19" s="19"/>
      <c r="F19" s="19"/>
      <c r="G19" s="19"/>
      <c r="H19" s="19"/>
      <c r="I19" s="19"/>
      <c r="J19" s="19"/>
      <c r="K19" s="20" t="str">
        <f aca="false">IF(COUNT(E19,H19)=0,"",AVERAGE(E19,H19))</f>
        <v/>
      </c>
      <c r="L19" s="20" t="str">
        <f aca="false">IF(COUNT(F19,I19)=0,"",AVERAGE(F19,I19))</f>
        <v/>
      </c>
      <c r="M19" s="20" t="str">
        <f aca="false">IF(COUNT(G19,J19)=0,"",AVERAGE(G19,J19))</f>
        <v/>
      </c>
      <c r="N19" s="21"/>
    </row>
    <row r="21" customFormat="false" ht="15" hidden="false" customHeight="false" outlineLevel="0" collapsed="false">
      <c r="A21" s="22" t="s">
        <v>50</v>
      </c>
      <c r="B21" s="23" t="n">
        <f aca="false">COUNT(K6:K19)</f>
        <v>0</v>
      </c>
      <c r="C21" s="24" t="s">
        <v>51</v>
      </c>
    </row>
    <row r="22" customFormat="false" ht="15" hidden="false" customHeight="false" outlineLevel="0" collapsed="false">
      <c r="A22" s="22" t="s">
        <v>52</v>
      </c>
      <c r="B22" s="25" t="str">
        <f aca="false">IF(COUNT(K6:K19)=0,"",ROUND(AVERAGE(K6:K19),1))</f>
        <v/>
      </c>
      <c r="C22" s="26" t="s">
        <v>53</v>
      </c>
    </row>
    <row r="23" customFormat="false" ht="15" hidden="false" customHeight="false" outlineLevel="0" collapsed="false">
      <c r="A23" s="22" t="s">
        <v>54</v>
      </c>
      <c r="B23" s="25" t="str">
        <f aca="false">IF(COUNT(L6:L19)=0,"",ROUND(AVERAGE(L6:L19),1))</f>
        <v/>
      </c>
      <c r="C23" s="26" t="s">
        <v>53</v>
      </c>
    </row>
    <row r="24" customFormat="false" ht="15" hidden="false" customHeight="false" outlineLevel="0" collapsed="false">
      <c r="A24" s="22" t="s">
        <v>55</v>
      </c>
      <c r="B24" s="27" t="str">
        <f aca="false">IF(COUNT(M6:M19)=0,"",ROUND(AVERAGE(M6:M19),0))</f>
        <v/>
      </c>
      <c r="C24" s="24" t="s">
        <v>56</v>
      </c>
    </row>
    <row r="25" customFormat="false" ht="15" hidden="false" customHeight="false" outlineLevel="0" collapsed="false">
      <c r="A25" s="22" t="s">
        <v>57</v>
      </c>
      <c r="B25" s="28" t="str">
        <f aca="false">IF(B21=0,"",IF(OR(N(B22)&gt;=130,N(B23)&gt;=80),"平均 ≥ 130/80 mmHg：建議調整生活並諮詢醫師","平均低於 130/80 mmHg")&amp;IF(B21&lt;14,"（未滿 14 次，僅供參考）",""))</f>
        <v/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</row>
  </sheetData>
  <mergeCells count="6">
    <mergeCell ref="A2:N2"/>
    <mergeCell ref="A3:D3"/>
    <mergeCell ref="E3:G3"/>
    <mergeCell ref="H3:J3"/>
    <mergeCell ref="K3:M3"/>
    <mergeCell ref="B25:N25"/>
  </mergeCells>
  <conditionalFormatting sqref="K6:K19">
    <cfRule type="cellIs" priority="2" operator="greaterThanOrEqual" aboveAverage="0" equalAverage="0" bottom="0" percent="0" rank="0" text="" dxfId="0">
      <formula>130</formula>
    </cfRule>
  </conditionalFormatting>
  <conditionalFormatting sqref="L6:L19">
    <cfRule type="cellIs" priority="3" operator="greaterThanOrEqual" aboveAverage="0" equalAverage="0" bottom="0" percent="0" rank="0" text="" dxfId="0">
      <formula>80</formula>
    </cfRule>
  </conditionalFormatting>
  <dataValidations count="1">
    <dataValidation allowBlank="true" errorStyle="stop" operator="between" showDropDown="false" showErrorMessage="false" showInputMessage="false" sqref="C6:C19" type="list">
      <formula1>"早,晚"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5" min="4" style="0" width="9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8"/>
    <col collapsed="false" customWidth="true" hidden="false" outlineLevel="0" max="11" min="10" style="0" width="9"/>
    <col collapsed="false" customWidth="true" hidden="false" outlineLevel="0" max="12" min="12" style="0" width="8"/>
    <col collapsed="false" customWidth="true" hidden="false" outlineLevel="0" max="15" min="13" style="0" width="11"/>
    <col collapsed="false" customWidth="true" hidden="false" outlineLevel="0" max="16" min="16" style="0" width="22"/>
    <col collapsed="false" customWidth="true" hidden="false" outlineLevel="0" max="17" min="17" style="0" width="20"/>
  </cols>
  <sheetData>
    <row r="1" customFormat="false" ht="20.85" hidden="false" customHeight="false" outlineLevel="0" collapsed="false">
      <c r="A1" s="1" t="s">
        <v>58</v>
      </c>
    </row>
    <row r="2" customFormat="false" ht="45.75" hidden="false" customHeight="true" outlineLevel="0" collapsed="false">
      <c r="A2" s="8" t="s">
        <v>59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3" customFormat="false" ht="15" hidden="false" customHeight="true" outlineLevel="0" collapsed="false">
      <c r="A3" s="9" t="s">
        <v>25</v>
      </c>
      <c r="B3" s="9"/>
      <c r="C3" s="9"/>
      <c r="D3" s="9" t="s">
        <v>60</v>
      </c>
      <c r="E3" s="9"/>
      <c r="F3" s="9"/>
      <c r="G3" s="9" t="s">
        <v>61</v>
      </c>
      <c r="H3" s="9"/>
      <c r="I3" s="9"/>
      <c r="J3" s="9" t="s">
        <v>62</v>
      </c>
      <c r="K3" s="9"/>
      <c r="L3" s="9"/>
      <c r="M3" s="9" t="s">
        <v>63</v>
      </c>
      <c r="N3" s="9"/>
      <c r="O3" s="10"/>
      <c r="P3" s="9" t="s">
        <v>64</v>
      </c>
      <c r="Q3" s="9"/>
    </row>
    <row r="4" customFormat="false" ht="33.75" hidden="false" customHeight="true" outlineLevel="0" collapsed="false">
      <c r="A4" s="11" t="s">
        <v>65</v>
      </c>
      <c r="B4" s="11" t="s">
        <v>30</v>
      </c>
      <c r="C4" s="11" t="s">
        <v>32</v>
      </c>
      <c r="D4" s="11" t="s">
        <v>33</v>
      </c>
      <c r="E4" s="11" t="s">
        <v>34</v>
      </c>
      <c r="F4" s="11" t="s">
        <v>35</v>
      </c>
      <c r="G4" s="11" t="s">
        <v>33</v>
      </c>
      <c r="H4" s="11" t="s">
        <v>34</v>
      </c>
      <c r="I4" s="11" t="s">
        <v>35</v>
      </c>
      <c r="J4" s="11" t="s">
        <v>33</v>
      </c>
      <c r="K4" s="11" t="s">
        <v>34</v>
      </c>
      <c r="L4" s="11" t="s">
        <v>35</v>
      </c>
      <c r="M4" s="11" t="s">
        <v>66</v>
      </c>
      <c r="N4" s="11" t="s">
        <v>67</v>
      </c>
      <c r="O4" s="11" t="s">
        <v>68</v>
      </c>
      <c r="P4" s="11" t="s">
        <v>57</v>
      </c>
      <c r="Q4" s="11" t="s">
        <v>36</v>
      </c>
    </row>
    <row r="5" customFormat="false" ht="24" hidden="false" customHeight="true" outlineLevel="0" collapsed="false">
      <c r="A5" s="12" t="s">
        <v>37</v>
      </c>
      <c r="B5" s="13" t="s">
        <v>69</v>
      </c>
      <c r="C5" s="13" t="s">
        <v>70</v>
      </c>
      <c r="D5" s="12" t="n">
        <v>132</v>
      </c>
      <c r="E5" s="12" t="n">
        <v>80</v>
      </c>
      <c r="F5" s="12" t="n">
        <v>68</v>
      </c>
      <c r="G5" s="12" t="n">
        <v>118</v>
      </c>
      <c r="H5" s="12" t="n">
        <v>76</v>
      </c>
      <c r="I5" s="12" t="n">
        <v>80</v>
      </c>
      <c r="J5" s="12" t="n">
        <v>120</v>
      </c>
      <c r="K5" s="12" t="n">
        <v>78</v>
      </c>
      <c r="L5" s="12" t="n">
        <v>78</v>
      </c>
      <c r="M5" s="12" t="n">
        <f aca="false">IF(OR(D5="",COUNT(G5,J5)=0),"",D5-MIN(G5,J5))</f>
        <v>14</v>
      </c>
      <c r="N5" s="12" t="n">
        <f aca="false">IF(OR(E5="",COUNT(H5,K5)=0),"",E5-MIN(H5,K5))</f>
        <v>4</v>
      </c>
      <c r="O5" s="12" t="s">
        <v>71</v>
      </c>
      <c r="P5" s="12" t="str">
        <f aca="false">IF(M5="","",IF(OR(M5&gt;=20,N(N5)&gt;=10),"符合姿勢性低血壓定義","未達定義"))</f>
        <v>未達定義</v>
      </c>
      <c r="Q5" s="12" t="s">
        <v>41</v>
      </c>
    </row>
    <row r="6" customFormat="false" ht="24" hidden="false" customHeight="true" outlineLevel="0" collapsed="false">
      <c r="A6" s="15" t="s">
        <v>72</v>
      </c>
      <c r="B6" s="16"/>
      <c r="C6" s="18"/>
      <c r="D6" s="19"/>
      <c r="E6" s="19"/>
      <c r="F6" s="19"/>
      <c r="G6" s="19"/>
      <c r="H6" s="19"/>
      <c r="I6" s="19"/>
      <c r="J6" s="19"/>
      <c r="K6" s="19"/>
      <c r="L6" s="19"/>
      <c r="M6" s="15" t="str">
        <f aca="false">IF(OR(D6="",COUNT(G6,J6)=0),"",D6-MIN(G6,J6))</f>
        <v/>
      </c>
      <c r="N6" s="15" t="str">
        <f aca="false">IF(OR(E6="",COUNT(H6,K6)=0),"",E6-MIN(H6,K6))</f>
        <v/>
      </c>
      <c r="O6" s="29"/>
      <c r="P6" s="30" t="str">
        <f aca="false">IF(M6="","",IF(OR(M6&gt;=20,N(N6)&gt;=10),"符合姿勢性低血壓定義","未達定義"))</f>
        <v/>
      </c>
      <c r="Q6" s="21"/>
    </row>
    <row r="7" customFormat="false" ht="24" hidden="false" customHeight="true" outlineLevel="0" collapsed="false">
      <c r="A7" s="15" t="s">
        <v>73</v>
      </c>
      <c r="B7" s="16"/>
      <c r="C7" s="18"/>
      <c r="D7" s="19"/>
      <c r="E7" s="19"/>
      <c r="F7" s="19"/>
      <c r="G7" s="19"/>
      <c r="H7" s="19"/>
      <c r="I7" s="19"/>
      <c r="J7" s="19"/>
      <c r="K7" s="19"/>
      <c r="L7" s="19"/>
      <c r="M7" s="15" t="str">
        <f aca="false">IF(OR(D7="",COUNT(G7,J7)=0),"",D7-MIN(G7,J7))</f>
        <v/>
      </c>
      <c r="N7" s="15" t="str">
        <f aca="false">IF(OR(E7="",COUNT(H7,K7)=0),"",E7-MIN(H7,K7))</f>
        <v/>
      </c>
      <c r="O7" s="29"/>
      <c r="P7" s="30" t="str">
        <f aca="false">IF(M7="","",IF(OR(M7&gt;=20,N(N7)&gt;=10),"符合姿勢性低血壓定義","未達定義"))</f>
        <v/>
      </c>
      <c r="Q7" s="21"/>
    </row>
    <row r="8" customFormat="false" ht="24" hidden="false" customHeight="true" outlineLevel="0" collapsed="false">
      <c r="A8" s="15" t="s">
        <v>74</v>
      </c>
      <c r="B8" s="16"/>
      <c r="C8" s="18"/>
      <c r="D8" s="19"/>
      <c r="E8" s="19"/>
      <c r="F8" s="19"/>
      <c r="G8" s="19"/>
      <c r="H8" s="19"/>
      <c r="I8" s="19"/>
      <c r="J8" s="19"/>
      <c r="K8" s="19"/>
      <c r="L8" s="19"/>
      <c r="M8" s="15" t="str">
        <f aca="false">IF(OR(D8="",COUNT(G8,J8)=0),"",D8-MIN(G8,J8))</f>
        <v/>
      </c>
      <c r="N8" s="15" t="str">
        <f aca="false">IF(OR(E8="",COUNT(H8,K8)=0),"",E8-MIN(H8,K8))</f>
        <v/>
      </c>
      <c r="O8" s="29"/>
      <c r="P8" s="30" t="str">
        <f aca="false">IF(M8="","",IF(OR(M8&gt;=20,N(N8)&gt;=10),"符合姿勢性低血壓定義","未達定義"))</f>
        <v/>
      </c>
      <c r="Q8" s="21"/>
    </row>
    <row r="9" customFormat="false" ht="24" hidden="false" customHeight="true" outlineLevel="0" collapsed="false">
      <c r="A9" s="15" t="s">
        <v>75</v>
      </c>
      <c r="B9" s="16"/>
      <c r="C9" s="18"/>
      <c r="D9" s="19"/>
      <c r="E9" s="19"/>
      <c r="F9" s="19"/>
      <c r="G9" s="19"/>
      <c r="H9" s="19"/>
      <c r="I9" s="19"/>
      <c r="J9" s="19"/>
      <c r="K9" s="19"/>
      <c r="L9" s="19"/>
      <c r="M9" s="15" t="str">
        <f aca="false">IF(OR(D9="",COUNT(G9,J9)=0),"",D9-MIN(G9,J9))</f>
        <v/>
      </c>
      <c r="N9" s="15" t="str">
        <f aca="false">IF(OR(E9="",COUNT(H9,K9)=0),"",E9-MIN(H9,K9))</f>
        <v/>
      </c>
      <c r="O9" s="29"/>
      <c r="P9" s="30" t="str">
        <f aca="false">IF(M9="","",IF(OR(M9&gt;=20,N(N9)&gt;=10),"符合姿勢性低血壓定義","未達定義"))</f>
        <v/>
      </c>
      <c r="Q9" s="21"/>
    </row>
    <row r="11" customFormat="false" ht="15" hidden="false" customHeight="false" outlineLevel="0" collapsed="false">
      <c r="A11" s="22" t="s">
        <v>50</v>
      </c>
      <c r="B11" s="23" t="n">
        <f aca="false">COUNT(M6:M9)</f>
        <v>0</v>
      </c>
      <c r="C11" s="24" t="s">
        <v>76</v>
      </c>
    </row>
    <row r="12" customFormat="false" ht="15" hidden="false" customHeight="false" outlineLevel="0" collapsed="false">
      <c r="A12" s="22" t="s">
        <v>77</v>
      </c>
      <c r="B12" s="23" t="str">
        <f aca="false">IF(COUNT(M6:M9)=0,"",MAX(M6:M9))</f>
        <v/>
      </c>
      <c r="C12" s="26" t="s">
        <v>78</v>
      </c>
    </row>
    <row r="13" customFormat="false" ht="15" hidden="false" customHeight="false" outlineLevel="0" collapsed="false">
      <c r="A13" s="22" t="s">
        <v>79</v>
      </c>
      <c r="B13" s="23" t="str">
        <f aca="false">IF(COUNT(N6:N9)=0,"",MAX(N6:N9))</f>
        <v/>
      </c>
      <c r="C13" s="26" t="s">
        <v>80</v>
      </c>
    </row>
    <row r="14" customFormat="false" ht="15" hidden="false" customHeight="false" outlineLevel="0" collapsed="false">
      <c r="A14" s="22" t="s">
        <v>81</v>
      </c>
      <c r="B14" s="23" t="n">
        <f aca="false">COUNTIF(P6:P9,"符合姿勢性低血壓定義")</f>
        <v>0</v>
      </c>
    </row>
    <row r="15" customFormat="false" ht="15" hidden="false" customHeight="false" outlineLevel="0" collapsed="false">
      <c r="A15" s="22" t="s">
        <v>82</v>
      </c>
      <c r="B15" s="23" t="n">
        <f aca="false">COUNTIF(O6:O9,"是")</f>
        <v>0</v>
      </c>
    </row>
  </sheetData>
  <mergeCells count="6">
    <mergeCell ref="A2:Q2"/>
    <mergeCell ref="A3:C3"/>
    <mergeCell ref="D3:F3"/>
    <mergeCell ref="G3:I3"/>
    <mergeCell ref="J3:L3"/>
    <mergeCell ref="M3:N3"/>
  </mergeCells>
  <conditionalFormatting sqref="P6:P9">
    <cfRule type="expression" priority="2" aboveAverage="0" equalAverage="0" bottom="0" percent="0" rank="0" text="" dxfId="0">
      <formula>P6="符合姿勢性低血壓定義"</formula>
    </cfRule>
  </conditionalFormatting>
  <dataValidations count="1">
    <dataValidation allowBlank="true" errorStyle="stop" operator="between" showDropDown="false" showErrorMessage="false" showInputMessage="false" sqref="O6:O9" type="list">
      <formula1>"是,否"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30"/>
  </cols>
  <sheetData>
    <row r="1" customFormat="false" ht="20.85" hidden="false" customHeight="false" outlineLevel="0" collapsed="false">
      <c r="A1" s="1" t="s">
        <v>83</v>
      </c>
    </row>
    <row r="2" customFormat="false" ht="45.75" hidden="false" customHeight="true" outlineLevel="0" collapsed="false">
      <c r="A2" s="8" t="s">
        <v>84</v>
      </c>
      <c r="B2" s="8"/>
      <c r="C2" s="8"/>
      <c r="D2" s="8"/>
      <c r="E2" s="8"/>
      <c r="F2" s="8"/>
      <c r="G2" s="8"/>
    </row>
    <row r="4" customFormat="false" ht="33.75" hidden="false" customHeight="true" outlineLevel="0" collapsed="false">
      <c r="A4" s="9" t="s">
        <v>29</v>
      </c>
      <c r="B4" s="9" t="s">
        <v>30</v>
      </c>
      <c r="C4" s="9" t="s">
        <v>85</v>
      </c>
      <c r="D4" s="9" t="s">
        <v>86</v>
      </c>
      <c r="E4" s="9" t="s">
        <v>87</v>
      </c>
      <c r="F4" s="9" t="s">
        <v>88</v>
      </c>
      <c r="G4" s="9" t="s">
        <v>36</v>
      </c>
    </row>
    <row r="5" customFormat="false" ht="24" hidden="false" customHeight="true" outlineLevel="0" collapsed="false">
      <c r="A5" s="12" t="s">
        <v>37</v>
      </c>
      <c r="B5" s="13" t="s">
        <v>38</v>
      </c>
      <c r="C5" s="13" t="s">
        <v>89</v>
      </c>
      <c r="D5" s="13" t="s">
        <v>90</v>
      </c>
      <c r="E5" s="12" t="n">
        <v>2</v>
      </c>
      <c r="F5" s="12" t="s">
        <v>71</v>
      </c>
      <c r="G5" s="12" t="s">
        <v>41</v>
      </c>
    </row>
    <row r="6" customFormat="false" ht="24" hidden="false" customHeight="true" outlineLevel="0" collapsed="false">
      <c r="A6" s="15" t="s">
        <v>91</v>
      </c>
      <c r="B6" s="16"/>
      <c r="C6" s="18"/>
      <c r="D6" s="18"/>
      <c r="E6" s="19"/>
      <c r="F6" s="19"/>
      <c r="G6" s="21"/>
    </row>
    <row r="7" customFormat="false" ht="24" hidden="false" customHeight="true" outlineLevel="0" collapsed="false">
      <c r="A7" s="15" t="s">
        <v>92</v>
      </c>
      <c r="B7" s="16"/>
      <c r="C7" s="18"/>
      <c r="D7" s="18"/>
      <c r="E7" s="19"/>
      <c r="F7" s="19"/>
      <c r="G7" s="21"/>
    </row>
    <row r="8" customFormat="false" ht="24" hidden="false" customHeight="true" outlineLevel="0" collapsed="false">
      <c r="A8" s="15" t="s">
        <v>93</v>
      </c>
      <c r="B8" s="16"/>
      <c r="C8" s="18"/>
      <c r="D8" s="18"/>
      <c r="E8" s="19"/>
      <c r="F8" s="19"/>
      <c r="G8" s="21"/>
    </row>
    <row r="9" customFormat="false" ht="24" hidden="false" customHeight="true" outlineLevel="0" collapsed="false">
      <c r="A9" s="15" t="s">
        <v>94</v>
      </c>
      <c r="B9" s="16"/>
      <c r="C9" s="18"/>
      <c r="D9" s="18"/>
      <c r="E9" s="19"/>
      <c r="F9" s="19"/>
      <c r="G9" s="21"/>
    </row>
    <row r="10" customFormat="false" ht="24" hidden="false" customHeight="true" outlineLevel="0" collapsed="false">
      <c r="A10" s="15" t="s">
        <v>95</v>
      </c>
      <c r="B10" s="16"/>
      <c r="C10" s="18"/>
      <c r="D10" s="18"/>
      <c r="E10" s="19"/>
      <c r="F10" s="19"/>
      <c r="G10" s="21"/>
    </row>
    <row r="11" customFormat="false" ht="24" hidden="false" customHeight="true" outlineLevel="0" collapsed="false">
      <c r="A11" s="15" t="s">
        <v>96</v>
      </c>
      <c r="B11" s="16"/>
      <c r="C11" s="18"/>
      <c r="D11" s="18"/>
      <c r="E11" s="19"/>
      <c r="F11" s="19"/>
      <c r="G11" s="21"/>
    </row>
    <row r="12" customFormat="false" ht="24" hidden="false" customHeight="true" outlineLevel="0" collapsed="false">
      <c r="A12" s="15" t="s">
        <v>97</v>
      </c>
      <c r="B12" s="16"/>
      <c r="C12" s="18"/>
      <c r="D12" s="18"/>
      <c r="E12" s="19"/>
      <c r="F12" s="19"/>
      <c r="G12" s="21"/>
    </row>
    <row r="14" customFormat="false" ht="15" hidden="false" customHeight="false" outlineLevel="0" collapsed="false">
      <c r="A14" s="22" t="s">
        <v>98</v>
      </c>
      <c r="B14" s="23" t="n">
        <f aca="false">COUNT(E6:E12)</f>
        <v>0</v>
      </c>
      <c r="C14" s="24" t="s">
        <v>99</v>
      </c>
    </row>
    <row r="15" customFormat="false" ht="15" hidden="false" customHeight="false" outlineLevel="0" collapsed="false">
      <c r="A15" s="22" t="s">
        <v>100</v>
      </c>
      <c r="B15" s="25" t="str">
        <f aca="false">IF(COUNT(E6:E12)=0,"",ROUND(AVERAGE(E6:E12),1))</f>
        <v/>
      </c>
      <c r="C15" s="24" t="s">
        <v>101</v>
      </c>
    </row>
    <row r="16" customFormat="false" ht="15" hidden="false" customHeight="false" outlineLevel="0" collapsed="false">
      <c r="A16" s="31" t="s">
        <v>102</v>
      </c>
      <c r="B16" s="23" t="n">
        <f aca="false">COUNTIF(E6:E12,"&gt;=3")</f>
        <v>0</v>
      </c>
    </row>
    <row r="17" customFormat="false" ht="15" hidden="false" customHeight="false" outlineLevel="0" collapsed="false">
      <c r="A17" s="22" t="s">
        <v>103</v>
      </c>
      <c r="B17" s="23" t="n">
        <f aca="false">COUNTIF(F6:F12,"是")</f>
        <v>0</v>
      </c>
    </row>
    <row r="18" customFormat="false" ht="15" hidden="false" customHeight="false" outlineLevel="0" collapsed="false">
      <c r="A18" s="22" t="s">
        <v>57</v>
      </c>
      <c r="B18" s="23" t="str">
        <f aca="false">IF(B14=0,"",IF(AND(B14=7,B16=7),"連續一週每晚 ≥ 3 次：依本設計會提醒就醫","未達提醒條件（連續一週每晚 ≥ 3 次）"))</f>
        <v/>
      </c>
    </row>
  </sheetData>
  <mergeCells count="1">
    <mergeCell ref="A2:G2"/>
  </mergeCells>
  <conditionalFormatting sqref="E6:E12">
    <cfRule type="cellIs" priority="2" operator="greaterThanOrEqual" aboveAverage="0" equalAverage="0" bottom="0" percent="0" rank="0" text="" dxfId="0">
      <formula>3</formula>
    </cfRule>
  </conditionalFormatting>
  <dataValidations count="1">
    <dataValidation allowBlank="true" errorStyle="stop" operator="between" showDropDown="false" showErrorMessage="false" showInputMessage="false" sqref="F6:F12" type="list">
      <formula1>"是,否"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5" min="3" style="0" width="10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0" min="10" style="0" width="14"/>
    <col collapsed="false" customWidth="true" hidden="false" outlineLevel="0" max="11" min="11" style="0" width="9"/>
    <col collapsed="false" customWidth="true" hidden="false" outlineLevel="0" max="12" min="12" style="0" width="24"/>
  </cols>
  <sheetData>
    <row r="1" customFormat="false" ht="20.85" hidden="false" customHeight="false" outlineLevel="0" collapsed="false">
      <c r="A1" s="1" t="s">
        <v>104</v>
      </c>
    </row>
    <row r="2" customFormat="false" ht="45.75" hidden="false" customHeight="true" outlineLevel="0" collapsed="false">
      <c r="A2" s="8" t="s">
        <v>105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4" customFormat="false" ht="33.75" hidden="false" customHeight="true" outlineLevel="0" collapsed="false">
      <c r="A4" s="9" t="s">
        <v>65</v>
      </c>
      <c r="B4" s="9" t="s">
        <v>30</v>
      </c>
      <c r="C4" s="9" t="s">
        <v>106</v>
      </c>
      <c r="D4" s="9" t="s">
        <v>107</v>
      </c>
      <c r="E4" s="9" t="s">
        <v>108</v>
      </c>
      <c r="F4" s="9" t="s">
        <v>109</v>
      </c>
      <c r="G4" s="9" t="s">
        <v>110</v>
      </c>
      <c r="H4" s="9" t="s">
        <v>111</v>
      </c>
      <c r="I4" s="9" t="s">
        <v>112</v>
      </c>
      <c r="J4" s="9" t="s">
        <v>113</v>
      </c>
      <c r="K4" s="9" t="s">
        <v>114</v>
      </c>
      <c r="L4" s="9" t="s">
        <v>36</v>
      </c>
    </row>
    <row r="5" customFormat="false" ht="24" hidden="false" customHeight="true" outlineLevel="0" collapsed="false">
      <c r="A5" s="12" t="s">
        <v>37</v>
      </c>
      <c r="B5" s="13" t="s">
        <v>38</v>
      </c>
      <c r="C5" s="32" t="n">
        <v>0.944444444444444</v>
      </c>
      <c r="D5" s="32" t="n">
        <v>0.956944444444445</v>
      </c>
      <c r="E5" s="12" t="n">
        <f aca="false">IF(OR(C5="",D5=""),"",ROUND(MOD(D5-C5,1)*1440,0))</f>
        <v>18</v>
      </c>
      <c r="F5" s="12" t="n">
        <v>68</v>
      </c>
      <c r="G5" s="12" t="n">
        <v>92</v>
      </c>
      <c r="H5" s="12" t="n">
        <f aca="false">IF(COUNT(F5,G5)&lt;2,"",G5-F5)</f>
        <v>24</v>
      </c>
      <c r="I5" s="12" t="n">
        <v>80</v>
      </c>
      <c r="J5" s="12" t="s">
        <v>71</v>
      </c>
      <c r="K5" s="12" t="n">
        <v>18</v>
      </c>
      <c r="L5" s="12" t="s">
        <v>41</v>
      </c>
    </row>
    <row r="6" customFormat="false" ht="24" hidden="false" customHeight="true" outlineLevel="0" collapsed="false">
      <c r="A6" s="15" t="s">
        <v>115</v>
      </c>
      <c r="B6" s="16"/>
      <c r="C6" s="18"/>
      <c r="D6" s="18"/>
      <c r="E6" s="15" t="str">
        <f aca="false">IF(OR(C6="",D6=""),"",ROUND(MOD(D6-C6,1)*1440,0))</f>
        <v/>
      </c>
      <c r="F6" s="19"/>
      <c r="G6" s="19"/>
      <c r="H6" s="15" t="str">
        <f aca="false">IF(COUNT(F6,G6)&lt;2,"",G6-F6)</f>
        <v/>
      </c>
      <c r="I6" s="19"/>
      <c r="J6" s="19"/>
      <c r="K6" s="19"/>
      <c r="L6" s="21"/>
    </row>
    <row r="7" customFormat="false" ht="24" hidden="false" customHeight="true" outlineLevel="0" collapsed="false">
      <c r="A7" s="15" t="s">
        <v>116</v>
      </c>
      <c r="B7" s="16"/>
      <c r="C7" s="18"/>
      <c r="D7" s="18"/>
      <c r="E7" s="15" t="str">
        <f aca="false">IF(OR(C7="",D7=""),"",ROUND(MOD(D7-C7,1)*1440,0))</f>
        <v/>
      </c>
      <c r="F7" s="19"/>
      <c r="G7" s="19"/>
      <c r="H7" s="15" t="str">
        <f aca="false">IF(COUNT(F7,G7)&lt;2,"",G7-F7)</f>
        <v/>
      </c>
      <c r="I7" s="19"/>
      <c r="J7" s="19"/>
      <c r="K7" s="19"/>
      <c r="L7" s="21"/>
    </row>
    <row r="8" customFormat="false" ht="24" hidden="false" customHeight="true" outlineLevel="0" collapsed="false">
      <c r="A8" s="15" t="s">
        <v>117</v>
      </c>
      <c r="B8" s="16"/>
      <c r="C8" s="18"/>
      <c r="D8" s="18"/>
      <c r="E8" s="15" t="str">
        <f aca="false">IF(OR(C8="",D8=""),"",ROUND(MOD(D8-C8,1)*1440,0))</f>
        <v/>
      </c>
      <c r="F8" s="19"/>
      <c r="G8" s="19"/>
      <c r="H8" s="15" t="str">
        <f aca="false">IF(COUNT(F8,G8)&lt;2,"",G8-F8)</f>
        <v/>
      </c>
      <c r="I8" s="19"/>
      <c r="J8" s="19"/>
      <c r="K8" s="19"/>
      <c r="L8" s="21"/>
    </row>
    <row r="9" customFormat="false" ht="24" hidden="false" customHeight="true" outlineLevel="0" collapsed="false">
      <c r="A9" s="15" t="s">
        <v>118</v>
      </c>
      <c r="B9" s="16"/>
      <c r="C9" s="18"/>
      <c r="D9" s="18"/>
      <c r="E9" s="15" t="str">
        <f aca="false">IF(OR(C9="",D9=""),"",ROUND(MOD(D9-C9,1)*1440,0))</f>
        <v/>
      </c>
      <c r="F9" s="19"/>
      <c r="G9" s="19"/>
      <c r="H9" s="15" t="str">
        <f aca="false">IF(COUNT(F9,G9)&lt;2,"",G9-F9)</f>
        <v/>
      </c>
      <c r="I9" s="19"/>
      <c r="J9" s="19"/>
      <c r="K9" s="19"/>
      <c r="L9" s="21"/>
    </row>
    <row r="10" customFormat="false" ht="24" hidden="false" customHeight="true" outlineLevel="0" collapsed="false">
      <c r="A10" s="15" t="s">
        <v>119</v>
      </c>
      <c r="B10" s="16"/>
      <c r="C10" s="18"/>
      <c r="D10" s="18"/>
      <c r="E10" s="15" t="str">
        <f aca="false">IF(OR(C10="",D10=""),"",ROUND(MOD(D10-C10,1)*1440,0))</f>
        <v/>
      </c>
      <c r="F10" s="19"/>
      <c r="G10" s="19"/>
      <c r="H10" s="15" t="str">
        <f aca="false">IF(COUNT(F10,G10)&lt;2,"",G10-F10)</f>
        <v/>
      </c>
      <c r="I10" s="19"/>
      <c r="J10" s="19"/>
      <c r="K10" s="19"/>
      <c r="L10" s="21"/>
    </row>
    <row r="11" customFormat="false" ht="24" hidden="false" customHeight="true" outlineLevel="0" collapsed="false">
      <c r="A11" s="15" t="s">
        <v>120</v>
      </c>
      <c r="B11" s="16"/>
      <c r="C11" s="18"/>
      <c r="D11" s="18"/>
      <c r="E11" s="15" t="str">
        <f aca="false">IF(OR(C11="",D11=""),"",ROUND(MOD(D11-C11,1)*1440,0))</f>
        <v/>
      </c>
      <c r="F11" s="19"/>
      <c r="G11" s="19"/>
      <c r="H11" s="15" t="str">
        <f aca="false">IF(COUNT(F11,G11)&lt;2,"",G11-F11)</f>
        <v/>
      </c>
      <c r="I11" s="19"/>
      <c r="J11" s="19"/>
      <c r="K11" s="19"/>
      <c r="L11" s="21"/>
    </row>
    <row r="12" customFormat="false" ht="24" hidden="false" customHeight="true" outlineLevel="0" collapsed="false">
      <c r="A12" s="15" t="s">
        <v>121</v>
      </c>
      <c r="B12" s="16"/>
      <c r="C12" s="18"/>
      <c r="D12" s="18"/>
      <c r="E12" s="15" t="str">
        <f aca="false">IF(OR(C12="",D12=""),"",ROUND(MOD(D12-C12,1)*1440,0))</f>
        <v/>
      </c>
      <c r="F12" s="19"/>
      <c r="G12" s="19"/>
      <c r="H12" s="15" t="str">
        <f aca="false">IF(COUNT(F12,G12)&lt;2,"",G12-F12)</f>
        <v/>
      </c>
      <c r="I12" s="19"/>
      <c r="J12" s="19"/>
      <c r="K12" s="19"/>
      <c r="L12" s="21"/>
    </row>
    <row r="14" customFormat="false" ht="15" hidden="false" customHeight="false" outlineLevel="0" collapsed="false">
      <c r="A14" s="22" t="s">
        <v>122</v>
      </c>
      <c r="B14" s="23" t="n">
        <f aca="false">COUNT(H6:H12)</f>
        <v>0</v>
      </c>
      <c r="C14" s="24" t="s">
        <v>123</v>
      </c>
    </row>
    <row r="15" customFormat="false" ht="15" hidden="false" customHeight="false" outlineLevel="0" collapsed="false">
      <c r="A15" s="22" t="s">
        <v>124</v>
      </c>
      <c r="B15" s="23" t="str">
        <f aca="false">IF(COUNT(E6:E12)=0,"",ROUND(AVERAGE(E6:E12),0))</f>
        <v/>
      </c>
      <c r="C15" s="24" t="s">
        <v>125</v>
      </c>
    </row>
    <row r="16" customFormat="false" ht="15" hidden="false" customHeight="false" outlineLevel="0" collapsed="false">
      <c r="A16" s="22" t="s">
        <v>126</v>
      </c>
      <c r="B16" s="25" t="str">
        <f aca="false">IF(COUNT(H6:H12)=0,"",ROUND(AVERAGE(H6:H12),1))</f>
        <v/>
      </c>
      <c r="C16" s="26" t="s">
        <v>127</v>
      </c>
    </row>
    <row r="17" customFormat="false" ht="15" hidden="false" customHeight="false" outlineLevel="0" collapsed="false">
      <c r="A17" s="22" t="s">
        <v>128</v>
      </c>
      <c r="B17" s="23" t="str">
        <f aca="false">IF(COUNT(H6:H12)=0,"",MIN(H6:H12))</f>
        <v/>
      </c>
      <c r="C17" s="26" t="s">
        <v>127</v>
      </c>
    </row>
    <row r="18" customFormat="false" ht="15" hidden="false" customHeight="false" outlineLevel="0" collapsed="false">
      <c r="A18" s="22" t="s">
        <v>129</v>
      </c>
      <c r="B18" s="23" t="str">
        <f aca="false">IF(B17="","","濕度上升 ≥ "&amp;ROUND(B17*0.8,0)&amp;" %RH 判斷為洗澡")</f>
        <v/>
      </c>
      <c r="C18" s="24" t="s">
        <v>130</v>
      </c>
    </row>
  </sheetData>
  <mergeCells count="1">
    <mergeCell ref="A2:L2"/>
  </mergeCells>
  <dataValidations count="1">
    <dataValidation allowBlank="true" errorStyle="stop" operator="between" showDropDown="false" showErrorMessage="false" showInputMessage="false" sqref="J6:J12" type="list">
      <formula1>"是,否"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8"/>
    <col collapsed="false" customWidth="true" hidden="false" outlineLevel="0" max="4" min="3" style="0" width="46"/>
  </cols>
  <sheetData>
    <row r="1" customFormat="false" ht="20.85" hidden="false" customHeight="false" outlineLevel="0" collapsed="false">
      <c r="A1" s="1" t="s">
        <v>131</v>
      </c>
    </row>
    <row r="3" customFormat="false" ht="33.75" hidden="false" customHeight="true" outlineLevel="0" collapsed="false">
      <c r="A3" s="9" t="s">
        <v>132</v>
      </c>
      <c r="B3" s="9" t="s">
        <v>133</v>
      </c>
      <c r="C3" s="9" t="s">
        <v>57</v>
      </c>
      <c r="D3" s="9" t="s">
        <v>134</v>
      </c>
    </row>
    <row r="4" customFormat="false" ht="36" hidden="false" customHeight="true" outlineLevel="0" collapsed="false">
      <c r="A4" s="33" t="s">
        <v>135</v>
      </c>
      <c r="B4" s="34" t="str">
        <f aca="false">IF(血壓722!B22="","",血壓722!B22&amp;" / "&amp;血壓722!B23&amp;" mmHg")</f>
        <v/>
      </c>
      <c r="C4" s="34" t="str">
        <f aca="false">血壓722!B25</f>
        <v/>
      </c>
      <c r="D4" s="35" t="s">
        <v>136</v>
      </c>
    </row>
    <row r="5" customFormat="false" ht="36" hidden="false" customHeight="true" outlineLevel="0" collapsed="false">
      <c r="A5" s="33" t="s">
        <v>137</v>
      </c>
      <c r="B5" s="34" t="str">
        <f aca="false">血壓722!B21&amp;" / 14 次"</f>
        <v>0 / 14 次</v>
      </c>
      <c r="C5" s="34"/>
      <c r="D5" s="35"/>
    </row>
    <row r="6" customFormat="false" ht="36" hidden="false" customHeight="true" outlineLevel="0" collapsed="false">
      <c r="A6" s="33" t="s">
        <v>138</v>
      </c>
      <c r="B6" s="34" t="str">
        <f aca="false">IF(臥站血壓!B12="","","收縮壓 "&amp;臥站血壓!B12&amp;"、舒張壓 "&amp;臥站血壓!B13&amp;" mmHg")</f>
        <v/>
      </c>
      <c r="C6" s="34" t="str">
        <f aca="false">IF(臥站血壓!B11=0,"",臥站血壓!B14&amp;" 次符合定義")</f>
        <v/>
      </c>
      <c r="D6" s="35" t="s">
        <v>139</v>
      </c>
    </row>
    <row r="7" customFormat="false" ht="36" hidden="false" customHeight="true" outlineLevel="0" collapsed="false">
      <c r="A7" s="33" t="s">
        <v>140</v>
      </c>
      <c r="B7" s="34" t="str">
        <f aca="false">IF(夜間如廁!B15="","","平均 "&amp;夜間如廁!B15&amp;" 次/晚")</f>
        <v/>
      </c>
      <c r="C7" s="34" t="str">
        <f aca="false">夜間如廁!B18</f>
        <v/>
      </c>
      <c r="D7" s="35" t="s">
        <v>141</v>
      </c>
    </row>
    <row r="8" customFormat="false" ht="36" hidden="false" customHeight="true" outlineLevel="0" collapsed="false">
      <c r="A8" s="33" t="s">
        <v>142</v>
      </c>
      <c r="B8" s="34" t="str">
        <f aca="false">IF(洗澡濕度!B16="","","平均 "&amp;洗澡濕度!B16&amp;" %RH、最小 "&amp;洗澡濕度!B17&amp;" %RH")</f>
        <v/>
      </c>
      <c r="C8" s="34" t="str">
        <f aca="false">洗澡濕度!B18</f>
        <v/>
      </c>
      <c r="D8" s="35" t="s">
        <v>143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2026-10-23T16:36:17Z</dcterms:created>
  <dc:creator>openpyxl</dc:creator>
  <dc:description/>
  <dc:language>en-US</dc:language>
  <cp:lastModifiedBy/>
  <dcterms:modified xsi:type="dcterms:W3CDTF">2026-10-23T16:36:17Z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