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夜間如廁" sheetId="2" state="visible" r:id="rId4"/>
    <sheet name="洗澡濕度" sheetId="3" state="visible" r:id="rId5"/>
    <sheet name="摘要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<sst xmlns="http://schemas.openxmlformats.org/spreadsheetml/2006/main" count="90" uniqueCount="82">
  <si>
    <t xml:space="preserve">期末報告實測紀錄表（浴室安全監測系統）</t>
  </si>
  <si>
    <t xml:space="preserve">用途</t>
  </si>
  <si>
    <r>
      <rPr>
        <sz val="11"/>
        <rFont val="WenQuanYi Zen Hei"/>
        <family val="2"/>
      </rPr>
      <t xml:space="preserve">期末報告第 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項（感測器訊號的收集、資料整理分析）的實際資料。量完把這個檔案交回，用來做期末報告的分析頁。</t>
    </r>
  </si>
  <si>
    <t xml:space="preserve">怎麼填</t>
  </si>
  <si>
    <t xml:space="preserve">只填淺黃色格子（藍色字）。灰色斜體的「範例」列不會被計算，可以留著。計算欄、判斷欄與「摘要」工作表會自動更新。</t>
  </si>
  <si>
    <r>
      <rPr>
        <b val="true"/>
        <sz val="11"/>
        <rFont val="Arial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夜間如廁</t>
    </r>
  </si>
  <si>
    <r>
      <rPr>
        <sz val="11"/>
        <rFont val="WenQuanYi Zen Hei"/>
        <family val="2"/>
      </rPr>
      <t xml:space="preserve">連續 </t>
    </r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晚。記錄上床、起床時間，以及半夜起來上廁所的次數，起身時有沒有頭暈。可以請長輩早上回想，或由家人記錄。</t>
    </r>
  </si>
  <si>
    <r>
      <rPr>
        <b val="true"/>
        <sz val="11"/>
        <rFont val="Arial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洗澡濕度</t>
    </r>
  </si>
  <si>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次洗澡。浴室放一個電子溫濕度計（大多數手機沒有濕度感測器）。記錄洗澡前的濕度、洗澡中看到的最高濕度、洗完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分鐘後的濕度，以及開始、結束時間。</t>
    </r>
  </si>
  <si>
    <t xml:space="preserve">安全</t>
  </si>
  <si>
    <t xml:space="preserve">量測只是報告用的紀錄，不是診斷。身體不舒服時請停止並尋求醫療協助。開始前先徵得被量測者同意。</t>
  </si>
  <si>
    <t xml:space="preserve">個資</t>
  </si>
  <si>
    <t xml:space="preserve">交回檔案時，被量測者可以用「阿嬤」「同學」代稱，不需要寫真實姓名。</t>
  </si>
  <si>
    <t xml:space="preserve">格子顏色</t>
  </si>
  <si>
    <t xml:space="preserve">淺黃底、藍字＝要填的格子；灰底斜體＝範例；黑字＝公式；綠字＝從其他工作表帶入的結果；紅底＝超過文獻門檻。</t>
  </si>
  <si>
    <t xml:space="preserve">文獻</t>
  </si>
  <si>
    <r>
      <rPr>
        <sz val="10"/>
        <color rgb="FF595959"/>
        <rFont val="WenQuanYi Zen Hei"/>
        <family val="2"/>
      </rPr>
      <t xml:space="preserve">依據：</t>
    </r>
    <r>
      <rPr>
        <sz val="10"/>
        <color rgb="FF595959"/>
        <rFont val="Arial"/>
        <family val="0"/>
        <charset val="1"/>
      </rPr>
      <t xml:space="preserve">Vaughan CP, et al. Int J Clin Pract 2010;64(5):577–583</t>
    </r>
    <r>
      <rPr>
        <sz val="10"/>
        <color rgb="FF595959"/>
        <rFont val="WenQuanYi Zen Hei"/>
        <family val="2"/>
      </rPr>
      <t xml:space="preserve">（每晚 ≥ </t>
    </r>
    <r>
      <rPr>
        <sz val="10"/>
        <color rgb="FF595959"/>
        <rFont val="Arial"/>
        <family val="0"/>
        <charset val="1"/>
      </rPr>
      <t xml:space="preserve">3 </t>
    </r>
    <r>
      <rPr>
        <sz val="10"/>
        <color rgb="FF595959"/>
        <rFont val="WenQuanYi Zen Hei"/>
        <family val="2"/>
      </rPr>
      <t xml:space="preserve">次夜尿與跌倒風險）；提醒條件為本設計的規則</t>
    </r>
  </si>
  <si>
    <r>
      <rPr>
        <b val="true"/>
        <sz val="16"/>
        <rFont val="WenQuanYi Zen Hei"/>
        <family val="2"/>
      </rPr>
      <t xml:space="preserve">夜間如廁（連續 </t>
    </r>
    <r>
      <rPr>
        <b val="true"/>
        <sz val="16"/>
        <rFont val="Arial"/>
        <family val="0"/>
        <charset val="1"/>
      </rPr>
      <t xml:space="preserve">7 </t>
    </r>
    <r>
      <rPr>
        <b val="true"/>
        <sz val="16"/>
        <rFont val="WenQuanYi Zen Hei"/>
        <family val="2"/>
      </rPr>
      <t xml:space="preserve">晚）</t>
    </r>
  </si>
  <si>
    <r>
      <rPr>
        <sz val="10"/>
        <color rgb="FF595959"/>
        <rFont val="WenQuanYi Zen Hei"/>
        <family val="2"/>
      </rPr>
      <t xml:space="preserve">記錄上床、起床時間與半夜起來上廁所的次數。依據：</t>
    </r>
    <r>
      <rPr>
        <sz val="10"/>
        <color rgb="FF595959"/>
        <rFont val="Arial"/>
        <family val="0"/>
        <charset val="1"/>
      </rPr>
      <t xml:space="preserve">Vaughan CP, et al. Int J Clin Pract 2010;64(5):577–583</t>
    </r>
    <r>
      <rPr>
        <sz val="10"/>
        <color rgb="FF595959"/>
        <rFont val="WenQuanYi Zen Hei"/>
        <family val="2"/>
      </rPr>
      <t xml:space="preserve">（每晚 ≥ </t>
    </r>
    <r>
      <rPr>
        <sz val="10"/>
        <color rgb="FF595959"/>
        <rFont val="Arial"/>
        <family val="0"/>
        <charset val="1"/>
      </rPr>
      <t xml:space="preserve">3 </t>
    </r>
    <r>
      <rPr>
        <sz val="10"/>
        <color rgb="FF595959"/>
        <rFont val="WenQuanYi Zen Hei"/>
        <family val="2"/>
      </rPr>
      <t xml:space="preserve">次夜尿與跌倒風險）；提醒條件為本設計的規則</t>
    </r>
  </si>
  <si>
    <t xml:space="preserve">天</t>
  </si>
  <si>
    <t xml:space="preserve">日期</t>
  </si>
  <si>
    <t xml:space="preserve">上床時間</t>
  </si>
  <si>
    <t xml:space="preserve">起床時間</t>
  </si>
  <si>
    <t xml:space="preserve">夜間如廁次數</t>
  </si>
  <si>
    <t xml:space="preserve">起身時頭暈</t>
  </si>
  <si>
    <t xml:space="preserve">備註</t>
  </si>
  <si>
    <t xml:space="preserve">範例</t>
  </si>
  <si>
    <t xml:space="preserve">2026-12-01</t>
  </si>
  <si>
    <t xml:space="preserve">22:30</t>
  </si>
  <si>
    <t xml:space="preserve">06:10</t>
  </si>
  <si>
    <t xml:space="preserve">否</t>
  </si>
  <si>
    <t xml:space="preserve">範例列不計入</t>
  </si>
  <si>
    <r>
      <rPr>
        <sz val="11"/>
        <rFont val="WenQuanYi Zen Hei"/>
        <family val="2"/>
      </rPr>
      <t xml:space="preserve">第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晚</t>
    </r>
  </si>
  <si>
    <r>
      <rPr>
        <sz val="11"/>
        <rFont val="WenQuanYi Zen Hei"/>
        <family val="2"/>
      </rPr>
      <t xml:space="preserve">第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晚</t>
    </r>
  </si>
  <si>
    <r>
      <rPr>
        <sz val="11"/>
        <rFont val="WenQuanYi Zen Hei"/>
        <family val="2"/>
      </rPr>
      <t xml:space="preserve">第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晚</t>
    </r>
  </si>
  <si>
    <r>
      <rPr>
        <sz val="11"/>
        <rFont val="WenQuanYi Zen Hei"/>
        <family val="2"/>
      </rPr>
      <t xml:space="preserve">第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晚</t>
    </r>
  </si>
  <si>
    <r>
      <rPr>
        <sz val="11"/>
        <rFont val="WenQuanYi Zen Hei"/>
        <family val="2"/>
      </rPr>
      <t xml:space="preserve">第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晚</t>
    </r>
  </si>
  <si>
    <r>
      <rPr>
        <sz val="11"/>
        <rFont val="WenQuanYi Zen Hei"/>
        <family val="2"/>
      </rPr>
      <t xml:space="preserve">第 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晚</t>
    </r>
  </si>
  <si>
    <r>
      <rPr>
        <sz val="11"/>
        <rFont val="WenQuanYi Zen Hei"/>
        <family val="2"/>
      </rPr>
      <t xml:space="preserve">第 </t>
    </r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晚</t>
    </r>
  </si>
  <si>
    <t xml:space="preserve">記錄晚數</t>
  </si>
  <si>
    <r>
      <rPr>
        <sz val="10"/>
        <color rgb="FF595959"/>
        <rFont val="WenQuanYi Zen Hei"/>
        <family val="2"/>
      </rPr>
      <t xml:space="preserve">共 </t>
    </r>
    <r>
      <rPr>
        <sz val="10"/>
        <color rgb="FF595959"/>
        <rFont val="Arial"/>
        <family val="0"/>
        <charset val="1"/>
      </rPr>
      <t xml:space="preserve">7 </t>
    </r>
    <r>
      <rPr>
        <sz val="10"/>
        <color rgb="FF595959"/>
        <rFont val="WenQuanYi Zen Hei"/>
        <family val="2"/>
      </rPr>
      <t xml:space="preserve">晚</t>
    </r>
  </si>
  <si>
    <t xml:space="preserve">平均每晚次數</t>
  </si>
  <si>
    <r>
      <rPr>
        <sz val="10"/>
        <color rgb="FF595959"/>
        <rFont val="WenQuanYi Zen Hei"/>
        <family val="2"/>
      </rPr>
      <t xml:space="preserve">次</t>
    </r>
    <r>
      <rPr>
        <sz val="10"/>
        <color rgb="FF595959"/>
        <rFont val="Arial"/>
        <family val="0"/>
        <charset val="1"/>
      </rPr>
      <t xml:space="preserve">/</t>
    </r>
    <r>
      <rPr>
        <sz val="10"/>
        <color rgb="FF595959"/>
        <rFont val="WenQuanYi Zen Hei"/>
        <family val="2"/>
      </rPr>
      <t xml:space="preserve">晚</t>
    </r>
  </si>
  <si>
    <r>
      <rPr>
        <b val="true"/>
        <sz val="11"/>
        <rFont val="Arial"/>
        <family val="0"/>
        <charset val="1"/>
      </rPr>
      <t xml:space="preserve">≥ 3 </t>
    </r>
    <r>
      <rPr>
        <b val="true"/>
        <sz val="11"/>
        <rFont val="WenQuanYi Zen Hei"/>
        <family val="2"/>
      </rPr>
      <t xml:space="preserve">次的晚數</t>
    </r>
  </si>
  <si>
    <t xml:space="preserve">起身頭暈的晚數</t>
  </si>
  <si>
    <t xml:space="preserve">判斷</t>
  </si>
  <si>
    <r>
      <rPr>
        <b val="true"/>
        <sz val="16"/>
        <rFont val="WenQuanYi Zen Hei"/>
        <family val="2"/>
      </rPr>
      <t xml:space="preserve">洗澡時的浴室濕度（</t>
    </r>
    <r>
      <rPr>
        <b val="true"/>
        <sz val="16"/>
        <rFont val="Arial"/>
        <family val="0"/>
        <charset val="1"/>
      </rPr>
      <t xml:space="preserve">7 </t>
    </r>
    <r>
      <rPr>
        <b val="true"/>
        <sz val="16"/>
        <rFont val="WenQuanYi Zen Hei"/>
        <family val="2"/>
      </rPr>
      <t xml:space="preserve">次）</t>
    </r>
  </si>
  <si>
    <r>
      <rPr>
        <sz val="10"/>
        <color rgb="FF595959"/>
        <rFont val="WenQuanYi Zen Hei"/>
        <family val="2"/>
      </rPr>
      <t xml:space="preserve">用電子溫濕度計記錄。結果用來訂「濕度上升多少就判斷正在洗澡」的門檻。濕度單位 </t>
    </r>
    <r>
      <rPr>
        <sz val="10"/>
        <color rgb="FF595959"/>
        <rFont val="Arial"/>
        <family val="0"/>
        <charset val="1"/>
      </rPr>
      <t xml:space="preserve">%RH</t>
    </r>
    <r>
      <rPr>
        <sz val="10"/>
        <color rgb="FF595959"/>
        <rFont val="WenQuanYi Zen Hei"/>
        <family val="2"/>
      </rPr>
      <t xml:space="preserve">。</t>
    </r>
  </si>
  <si>
    <t xml:space="preserve">次數</t>
  </si>
  <si>
    <t xml:space="preserve">開始時間</t>
  </si>
  <si>
    <t xml:space="preserve">結束時間</t>
  </si>
  <si>
    <t xml:space="preserve">洗澡分鐘</t>
  </si>
  <si>
    <t xml:space="preserve">洗澡前濕度</t>
  </si>
  <si>
    <t xml:space="preserve">洗澡中最高濕度</t>
  </si>
  <si>
    <t xml:space="preserve">濕度上升</t>
  </si>
  <si>
    <r>
      <rPr>
        <b val="true"/>
        <sz val="11"/>
        <color rgb="FFFFFFFF"/>
        <rFont val="WenQuanYi Zen Hei"/>
        <family val="2"/>
      </rPr>
      <t xml:space="preserve">洗完 </t>
    </r>
    <r>
      <rPr>
        <b val="true"/>
        <sz val="11"/>
        <color rgb="FFFFFFFF"/>
        <rFont val="Arial"/>
        <family val="0"/>
        <charset val="1"/>
      </rPr>
      <t xml:space="preserve">10 </t>
    </r>
    <r>
      <rPr>
        <b val="true"/>
        <sz val="11"/>
        <color rgb="FFFFFFFF"/>
        <rFont val="WenQuanYi Zen Hei"/>
        <family val="2"/>
      </rPr>
      <t xml:space="preserve">分鐘後濕度</t>
    </r>
  </si>
  <si>
    <t xml:space="preserve">開窗或開排風扇</t>
  </si>
  <si>
    <r>
      <rPr>
        <b val="true"/>
        <sz val="11"/>
        <color rgb="FFFFFFFF"/>
        <rFont val="WenQuanYi Zen Hei"/>
        <family val="2"/>
      </rPr>
      <t xml:space="preserve">室溫 </t>
    </r>
    <r>
      <rPr>
        <b val="true"/>
        <sz val="11"/>
        <color rgb="FFFFFFFF"/>
        <rFont val="Arial"/>
        <family val="0"/>
        <charset val="1"/>
      </rPr>
      <t xml:space="preserve">°C</t>
    </r>
  </si>
  <si>
    <r>
      <rPr>
        <sz val="11"/>
        <rFont val="WenQuanYi Zen Hei"/>
        <family val="2"/>
      </rPr>
      <t xml:space="preserve">第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次</t>
    </r>
  </si>
  <si>
    <r>
      <rPr>
        <sz val="11"/>
        <rFont val="WenQuanYi Zen Hei"/>
        <family val="2"/>
      </rPr>
      <t xml:space="preserve">第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次</t>
    </r>
  </si>
  <si>
    <r>
      <rPr>
        <sz val="11"/>
        <rFont val="WenQuanYi Zen Hei"/>
        <family val="2"/>
      </rPr>
      <t xml:space="preserve">第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次</t>
    </r>
  </si>
  <si>
    <r>
      <rPr>
        <sz val="11"/>
        <rFont val="WenQuanYi Zen Hei"/>
        <family val="2"/>
      </rPr>
      <t xml:space="preserve">第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次</t>
    </r>
  </si>
  <si>
    <r>
      <rPr>
        <sz val="11"/>
        <rFont val="WenQuanYi Zen Hei"/>
        <family val="2"/>
      </rPr>
      <t xml:space="preserve">第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次</t>
    </r>
  </si>
  <si>
    <r>
      <rPr>
        <sz val="11"/>
        <rFont val="WenQuanYi Zen Hei"/>
        <family val="2"/>
      </rPr>
      <t xml:space="preserve">第 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次</t>
    </r>
  </si>
  <si>
    <r>
      <rPr>
        <sz val="11"/>
        <rFont val="WenQuanYi Zen Hei"/>
        <family val="2"/>
      </rPr>
      <t xml:space="preserve">第 </t>
    </r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次</t>
    </r>
  </si>
  <si>
    <t xml:space="preserve">記錄次數</t>
  </si>
  <si>
    <r>
      <rPr>
        <sz val="10"/>
        <color rgb="FF595959"/>
        <rFont val="WenQuanYi Zen Hei"/>
        <family val="2"/>
      </rPr>
      <t xml:space="preserve">共 </t>
    </r>
    <r>
      <rPr>
        <sz val="10"/>
        <color rgb="FF595959"/>
        <rFont val="Arial"/>
        <family val="0"/>
        <charset val="1"/>
      </rPr>
      <t xml:space="preserve">7 </t>
    </r>
    <r>
      <rPr>
        <sz val="10"/>
        <color rgb="FF595959"/>
        <rFont val="WenQuanYi Zen Hei"/>
        <family val="2"/>
      </rPr>
      <t xml:space="preserve">次</t>
    </r>
  </si>
  <si>
    <t xml:space="preserve">平均洗澡分鐘</t>
  </si>
  <si>
    <t xml:space="preserve">分鐘</t>
  </si>
  <si>
    <t xml:space="preserve">平均濕度上升</t>
  </si>
  <si>
    <t xml:space="preserve">%RH</t>
  </si>
  <si>
    <t xml:space="preserve">最小濕度上升</t>
  </si>
  <si>
    <t xml:space="preserve">建議門檻</t>
  </si>
  <si>
    <r>
      <rPr>
        <sz val="10"/>
        <color rgb="FF595959"/>
        <rFont val="WenQuanYi Zen Hei"/>
        <family val="2"/>
      </rPr>
      <t xml:space="preserve">假設：取 </t>
    </r>
    <r>
      <rPr>
        <sz val="10"/>
        <color rgb="FF595959"/>
        <rFont val="Arial"/>
        <family val="0"/>
        <charset val="1"/>
      </rPr>
      <t xml:space="preserve">7 </t>
    </r>
    <r>
      <rPr>
        <sz val="10"/>
        <color rgb="FF595959"/>
        <rFont val="WenQuanYi Zen Hei"/>
        <family val="2"/>
      </rPr>
      <t xml:space="preserve">次中最小上升量的 </t>
    </r>
    <r>
      <rPr>
        <sz val="10"/>
        <color rgb="FF595959"/>
        <rFont val="Arial"/>
        <family val="0"/>
        <charset val="1"/>
      </rPr>
      <t xml:space="preserve">8 </t>
    </r>
    <r>
      <rPr>
        <sz val="10"/>
        <color rgb="FF595959"/>
        <rFont val="WenQuanYi Zen Hei"/>
        <family val="2"/>
      </rPr>
      <t xml:space="preserve">成，留一點誤差空間（本設計自訂，期末依資料調整）</t>
    </r>
  </si>
  <si>
    <r>
      <rPr>
        <b val="true"/>
        <sz val="16"/>
        <rFont val="WenQuanYi Zen Hei"/>
        <family val="2"/>
      </rPr>
      <t xml:space="preserve">實測結果摘要（自動帶入，期末報告第 </t>
    </r>
    <r>
      <rPr>
        <b val="true"/>
        <sz val="16"/>
        <rFont val="Arial"/>
        <family val="0"/>
        <charset val="1"/>
      </rPr>
      <t xml:space="preserve">6 </t>
    </r>
    <r>
      <rPr>
        <b val="true"/>
        <sz val="16"/>
        <rFont val="WenQuanYi Zen Hei"/>
        <family val="2"/>
      </rPr>
      <t xml:space="preserve">項使用）</t>
    </r>
  </si>
  <si>
    <t xml:space="preserve">項目</t>
  </si>
  <si>
    <t xml:space="preserve">結果</t>
  </si>
  <si>
    <t xml:space="preserve">文獻或規則</t>
  </si>
  <si>
    <t xml:space="preserve">夜間如廁</t>
  </si>
  <si>
    <r>
      <rPr>
        <sz val="10"/>
        <color rgb="FF595959"/>
        <rFont val="WenQuanYi Zen Hei"/>
        <family val="2"/>
      </rPr>
      <t xml:space="preserve">每晚 ≥ </t>
    </r>
    <r>
      <rPr>
        <sz val="10"/>
        <color rgb="FF595959"/>
        <rFont val="Arial"/>
        <family val="0"/>
        <charset val="1"/>
      </rPr>
      <t xml:space="preserve">3 </t>
    </r>
    <r>
      <rPr>
        <sz val="10"/>
        <color rgb="FF595959"/>
        <rFont val="WenQuanYi Zen Hei"/>
        <family val="2"/>
      </rPr>
      <t xml:space="preserve">次，</t>
    </r>
    <r>
      <rPr>
        <sz val="10"/>
        <color rgb="FF595959"/>
        <rFont val="Arial"/>
        <family val="0"/>
        <charset val="1"/>
      </rPr>
      <t xml:space="preserve">3 </t>
    </r>
    <r>
      <rPr>
        <sz val="10"/>
        <color rgb="FF595959"/>
        <rFont val="WenQuanYi Zen Hei"/>
        <family val="2"/>
      </rPr>
      <t xml:space="preserve">年內跌倒風險較高（</t>
    </r>
    <r>
      <rPr>
        <sz val="10"/>
        <color rgb="FF595959"/>
        <rFont val="Arial"/>
        <family val="0"/>
        <charset val="1"/>
      </rPr>
      <t xml:space="preserve">Vaughan 2010</t>
    </r>
    <r>
      <rPr>
        <sz val="10"/>
        <color rgb="FF595959"/>
        <rFont val="WenQuanYi Zen Hei"/>
        <family val="2"/>
      </rPr>
      <t xml:space="preserve">）</t>
    </r>
  </si>
  <si>
    <t xml:space="preserve">洗澡時濕度上升</t>
  </si>
  <si>
    <t xml:space="preserve">本設計的洗澡判斷門檻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</si>
</sst>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hh:mm"/>
    <numFmt numFmtId="167" formatCode="General"/>
    <numFmt numFmtId="168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1"/>
      <name val="WenQuanYi Zen Hei"/>
      <family val="2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595959"/>
      <name val="WenQuanYi Zen Hei"/>
      <family val="2"/>
    </font>
    <font>
      <sz val="10"/>
      <color rgb="FF595959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WenQuanYi Zen Hei"/>
      <family val="2"/>
    </font>
    <font>
      <i val="true"/>
      <sz val="11"/>
      <color rgb="FF808080"/>
      <name val="WenQuanYi Zen Hei"/>
      <family val="2"/>
    </font>
    <font>
      <i val="true"/>
      <sz val="11"/>
      <color rgb="FF80808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61D"/>
        <bgColor rgb="FF000000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1116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3" customFormat="false" ht="48" hidden="false" customHeight="true" outlineLevel="0" collapsed="false">
      <c r="A3" s="2" t="s">
        <v>1</v>
      </c>
      <c r="B3" s="3" t="s">
        <v>2</v>
      </c>
    </row>
    <row r="4" customFormat="false" ht="48" hidden="false" customHeight="true" outlineLevel="0" collapsed="false">
      <c r="A4" s="2" t="s">
        <v>3</v>
      </c>
      <c r="B4" s="3" t="s">
        <v>4</v>
      </c>
    </row>
    <row r="5" customFormat="false" ht="48" hidden="false" customHeight="true" outlineLevel="0" collapsed="false">
      <c r="A5" s="4" t="s">
        <v>5</v>
      </c>
      <c r="B5" s="3" t="s">
        <v>6</v>
      </c>
    </row>
    <row r="6" customFormat="false" ht="48" hidden="false" customHeight="true" outlineLevel="0" collapsed="false">
      <c r="A6" s="4" t="s">
        <v>7</v>
      </c>
      <c r="B6" s="5" t="s">
        <v>8</v>
      </c>
    </row>
    <row r="7" customFormat="false" ht="48" hidden="false" customHeight="true" outlineLevel="0" collapsed="false">
      <c r="A7" s="2" t="s">
        <v>9</v>
      </c>
      <c r="B7" s="3" t="s">
        <v>10</v>
      </c>
    </row>
    <row r="8" customFormat="false" ht="48" hidden="false" customHeight="true" outlineLevel="0" collapsed="false">
      <c r="A8" s="2" t="s">
        <v>11</v>
      </c>
      <c r="B8" s="3" t="s">
        <v>12</v>
      </c>
    </row>
    <row r="9" customFormat="false" ht="48" hidden="false" customHeight="true" outlineLevel="0" collapsed="false">
      <c r="A9" s="2" t="s">
        <v>13</v>
      </c>
      <c r="B9" s="3" t="s">
        <v>14</v>
      </c>
    </row>
    <row r="11" customFormat="false" ht="43.5" hidden="false" customHeight="true" outlineLevel="0" collapsed="false">
      <c r="A11" s="6" t="s">
        <v>15</v>
      </c>
      <c r="B11" s="7" t="s">
        <v>16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1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20.85" hidden="false" customHeight="false" outlineLevel="0" collapsed="false">
      <c r="A1" s="1" t="s">
        <v>17</v>
      </c>
    </row>
    <row r="2" customFormat="false" ht="45.75" hidden="false" customHeight="true" outlineLevel="0" collapsed="false">
      <c r="A2" s="8" t="s">
        <v>18</v>
      </c>
      <c r="B2" s="8"/>
      <c r="C2" s="8"/>
      <c r="D2" s="8"/>
      <c r="E2" s="8"/>
      <c r="F2" s="8"/>
      <c r="G2" s="8"/>
    </row>
    <row r="4" customFormat="false" ht="33.75" hidden="false" customHeight="true" outlineLevel="0" collapsed="false">
      <c r="A4" s="9" t="s">
        <v>19</v>
      </c>
      <c r="B4" s="9" t="s">
        <v>20</v>
      </c>
      <c r="C4" s="9" t="s">
        <v>21</v>
      </c>
      <c r="D4" s="9" t="s">
        <v>22</v>
      </c>
      <c r="E4" s="9" t="s">
        <v>23</v>
      </c>
      <c r="F4" s="9" t="s">
        <v>24</v>
      </c>
      <c r="G4" s="9" t="s">
        <v>25</v>
      </c>
    </row>
    <row r="5" customFormat="false" ht="24" hidden="false" customHeight="true" outlineLevel="0" collapsed="false">
      <c r="A5" s="10" t="s">
        <v>26</v>
      </c>
      <c r="B5" s="11" t="s">
        <v>27</v>
      </c>
      <c r="C5" s="11" t="s">
        <v>28</v>
      </c>
      <c r="D5" s="11" t="s">
        <v>29</v>
      </c>
      <c r="E5" s="10" t="n">
        <v>2</v>
      </c>
      <c r="F5" s="10" t="s">
        <v>30</v>
      </c>
      <c r="G5" s="10" t="s">
        <v>31</v>
      </c>
    </row>
    <row r="6" customFormat="false" ht="24" hidden="false" customHeight="true" outlineLevel="0" collapsed="false">
      <c r="A6" s="12" t="s">
        <v>32</v>
      </c>
      <c r="B6" s="13"/>
      <c r="C6" s="14"/>
      <c r="D6" s="14"/>
      <c r="E6" s="15"/>
      <c r="F6" s="15"/>
      <c r="G6" s="16"/>
    </row>
    <row r="7" customFormat="false" ht="24" hidden="false" customHeight="true" outlineLevel="0" collapsed="false">
      <c r="A7" s="12" t="s">
        <v>33</v>
      </c>
      <c r="B7" s="13"/>
      <c r="C7" s="14"/>
      <c r="D7" s="14"/>
      <c r="E7" s="15"/>
      <c r="F7" s="15"/>
      <c r="G7" s="16"/>
    </row>
    <row r="8" customFormat="false" ht="24" hidden="false" customHeight="true" outlineLevel="0" collapsed="false">
      <c r="A8" s="12" t="s">
        <v>34</v>
      </c>
      <c r="B8" s="13"/>
      <c r="C8" s="14"/>
      <c r="D8" s="14"/>
      <c r="E8" s="15"/>
      <c r="F8" s="15"/>
      <c r="G8" s="16"/>
    </row>
    <row r="9" customFormat="false" ht="24" hidden="false" customHeight="true" outlineLevel="0" collapsed="false">
      <c r="A9" s="12" t="s">
        <v>35</v>
      </c>
      <c r="B9" s="13"/>
      <c r="C9" s="14"/>
      <c r="D9" s="14"/>
      <c r="E9" s="15"/>
      <c r="F9" s="15"/>
      <c r="G9" s="16"/>
    </row>
    <row r="10" customFormat="false" ht="24" hidden="false" customHeight="true" outlineLevel="0" collapsed="false">
      <c r="A10" s="12" t="s">
        <v>36</v>
      </c>
      <c r="B10" s="13"/>
      <c r="C10" s="14"/>
      <c r="D10" s="14"/>
      <c r="E10" s="15"/>
      <c r="F10" s="15"/>
      <c r="G10" s="16"/>
    </row>
    <row r="11" customFormat="false" ht="24" hidden="false" customHeight="true" outlineLevel="0" collapsed="false">
      <c r="A11" s="12" t="s">
        <v>37</v>
      </c>
      <c r="B11" s="13"/>
      <c r="C11" s="14"/>
      <c r="D11" s="14"/>
      <c r="E11" s="15"/>
      <c r="F11" s="15"/>
      <c r="G11" s="16"/>
    </row>
    <row r="12" customFormat="false" ht="24" hidden="false" customHeight="true" outlineLevel="0" collapsed="false">
      <c r="A12" s="12" t="s">
        <v>38</v>
      </c>
      <c r="B12" s="13"/>
      <c r="C12" s="14"/>
      <c r="D12" s="14"/>
      <c r="E12" s="15"/>
      <c r="F12" s="15"/>
      <c r="G12" s="16"/>
    </row>
    <row r="14" customFormat="false" ht="15" hidden="false" customHeight="false" outlineLevel="0" collapsed="false">
      <c r="A14" s="17" t="s">
        <v>39</v>
      </c>
      <c r="B14" s="18" t="n">
        <f aca="false">COUNT(E6:E12)</f>
        <v>0</v>
      </c>
      <c r="C14" s="19" t="s">
        <v>40</v>
      </c>
    </row>
    <row r="15" customFormat="false" ht="15" hidden="false" customHeight="false" outlineLevel="0" collapsed="false">
      <c r="A15" s="17" t="s">
        <v>41</v>
      </c>
      <c r="B15" s="20" t="str">
        <f aca="false">IF(COUNT(E6:E12)=0,"",ROUND(AVERAGE(E6:E12),1))</f>
        <v/>
      </c>
      <c r="C15" s="19" t="s">
        <v>42</v>
      </c>
    </row>
    <row r="16" customFormat="false" ht="15" hidden="false" customHeight="false" outlineLevel="0" collapsed="false">
      <c r="A16" s="21" t="s">
        <v>43</v>
      </c>
      <c r="B16" s="18" t="n">
        <f aca="false">COUNTIF(E6:E12,"&gt;=3")</f>
        <v>0</v>
      </c>
    </row>
    <row r="17" customFormat="false" ht="15" hidden="false" customHeight="false" outlineLevel="0" collapsed="false">
      <c r="A17" s="17" t="s">
        <v>44</v>
      </c>
      <c r="B17" s="18" t="n">
        <f aca="false">COUNTIF(F6:F12,"是")</f>
        <v>0</v>
      </c>
    </row>
    <row r="18" customFormat="false" ht="15" hidden="false" customHeight="false" outlineLevel="0" collapsed="false">
      <c r="A18" s="17" t="s">
        <v>45</v>
      </c>
      <c r="B18" s="18" t="str">
        <f aca="false">IF(B14=0,"",IF(AND(B14=7,B16=7),"連續一週每晚 ≥ 3 次：依本設計會提醒就醫","未達提醒條件（連續一週每晚 ≥ 3 次）"))</f>
        <v/>
      </c>
    </row>
  </sheetData>
  <mergeCells count="1">
    <mergeCell ref="A2:G2"/>
  </mergeCells>
  <conditionalFormatting sqref="E6:E12">
    <cfRule type="cellIs" priority="2" operator="greaterThanOrEqual" aboveAverage="0" equalAverage="0" bottom="0" percent="0" rank="0" text="" dxfId="0">
      <formula>3</formula>
    </cfRule>
  </conditionalFormatting>
  <dataValidations count="1">
    <dataValidation allowBlank="true" errorStyle="stop" operator="between" showDropDown="false" showErrorMessage="false" showInputMessage="false" sqref="F6:F12" type="list">
      <formula1>"是,否"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24"/>
  </cols>
  <sheetData>
    <row r="1" customFormat="false" ht="20.85" hidden="false" customHeight="false" outlineLevel="0" collapsed="false">
      <c r="A1" s="1" t="s">
        <v>46</v>
      </c>
    </row>
    <row r="2" customFormat="false" ht="45.75" hidden="false" customHeight="true" outlineLevel="0" collapsed="false">
      <c r="A2" s="8" t="s">
        <v>47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customFormat="false" ht="33.75" hidden="false" customHeight="true" outlineLevel="0" collapsed="false">
      <c r="A4" s="9" t="s">
        <v>48</v>
      </c>
      <c r="B4" s="9" t="s">
        <v>20</v>
      </c>
      <c r="C4" s="9" t="s">
        <v>49</v>
      </c>
      <c r="D4" s="9" t="s">
        <v>50</v>
      </c>
      <c r="E4" s="9" t="s">
        <v>51</v>
      </c>
      <c r="F4" s="9" t="s">
        <v>52</v>
      </c>
      <c r="G4" s="9" t="s">
        <v>53</v>
      </c>
      <c r="H4" s="9" t="s">
        <v>54</v>
      </c>
      <c r="I4" s="9" t="s">
        <v>55</v>
      </c>
      <c r="J4" s="9" t="s">
        <v>56</v>
      </c>
      <c r="K4" s="9" t="s">
        <v>57</v>
      </c>
      <c r="L4" s="9" t="s">
        <v>25</v>
      </c>
    </row>
    <row r="5" customFormat="false" ht="24" hidden="false" customHeight="true" outlineLevel="0" collapsed="false">
      <c r="A5" s="10" t="s">
        <v>26</v>
      </c>
      <c r="B5" s="11" t="s">
        <v>27</v>
      </c>
      <c r="C5" s="22" t="n">
        <v>0.944444444444444</v>
      </c>
      <c r="D5" s="22" t="n">
        <v>0.956944444444445</v>
      </c>
      <c r="E5" s="10" t="n">
        <f aca="false">IF(OR(C5="",D5=""),"",ROUND(MOD(D5-C5,1)*1440,0))</f>
        <v>18</v>
      </c>
      <c r="F5" s="10" t="n">
        <v>68</v>
      </c>
      <c r="G5" s="10" t="n">
        <v>92</v>
      </c>
      <c r="H5" s="10" t="n">
        <f aca="false">IF(COUNT(F5,G5)&lt;2,"",G5-F5)</f>
        <v>24</v>
      </c>
      <c r="I5" s="10" t="n">
        <v>80</v>
      </c>
      <c r="J5" s="10" t="s">
        <v>30</v>
      </c>
      <c r="K5" s="10" t="n">
        <v>18</v>
      </c>
      <c r="L5" s="10" t="s">
        <v>31</v>
      </c>
    </row>
    <row r="6" customFormat="false" ht="24" hidden="false" customHeight="true" outlineLevel="0" collapsed="false">
      <c r="A6" s="12" t="s">
        <v>58</v>
      </c>
      <c r="B6" s="13"/>
      <c r="C6" s="14"/>
      <c r="D6" s="14"/>
      <c r="E6" s="12" t="str">
        <f aca="false">IF(OR(C6="",D6=""),"",ROUND(MOD(D6-C6,1)*1440,0))</f>
        <v/>
      </c>
      <c r="F6" s="15"/>
      <c r="G6" s="15"/>
      <c r="H6" s="12" t="str">
        <f aca="false">IF(COUNT(F6,G6)&lt;2,"",G6-F6)</f>
        <v/>
      </c>
      <c r="I6" s="15"/>
      <c r="J6" s="15"/>
      <c r="K6" s="15"/>
      <c r="L6" s="16"/>
    </row>
    <row r="7" customFormat="false" ht="24" hidden="false" customHeight="true" outlineLevel="0" collapsed="false">
      <c r="A7" s="12" t="s">
        <v>59</v>
      </c>
      <c r="B7" s="13"/>
      <c r="C7" s="14"/>
      <c r="D7" s="14"/>
      <c r="E7" s="12" t="str">
        <f aca="false">IF(OR(C7="",D7=""),"",ROUND(MOD(D7-C7,1)*1440,0))</f>
        <v/>
      </c>
      <c r="F7" s="15"/>
      <c r="G7" s="15"/>
      <c r="H7" s="12" t="str">
        <f aca="false">IF(COUNT(F7,G7)&lt;2,"",G7-F7)</f>
        <v/>
      </c>
      <c r="I7" s="15"/>
      <c r="J7" s="15"/>
      <c r="K7" s="15"/>
      <c r="L7" s="16"/>
    </row>
    <row r="8" customFormat="false" ht="24" hidden="false" customHeight="true" outlineLevel="0" collapsed="false">
      <c r="A8" s="12" t="s">
        <v>60</v>
      </c>
      <c r="B8" s="13"/>
      <c r="C8" s="14"/>
      <c r="D8" s="14"/>
      <c r="E8" s="12" t="str">
        <f aca="false">IF(OR(C8="",D8=""),"",ROUND(MOD(D8-C8,1)*1440,0))</f>
        <v/>
      </c>
      <c r="F8" s="15"/>
      <c r="G8" s="15"/>
      <c r="H8" s="12" t="str">
        <f aca="false">IF(COUNT(F8,G8)&lt;2,"",G8-F8)</f>
        <v/>
      </c>
      <c r="I8" s="15"/>
      <c r="J8" s="15"/>
      <c r="K8" s="15"/>
      <c r="L8" s="16"/>
    </row>
    <row r="9" customFormat="false" ht="24" hidden="false" customHeight="true" outlineLevel="0" collapsed="false">
      <c r="A9" s="12" t="s">
        <v>61</v>
      </c>
      <c r="B9" s="13"/>
      <c r="C9" s="14"/>
      <c r="D9" s="14"/>
      <c r="E9" s="12" t="str">
        <f aca="false">IF(OR(C9="",D9=""),"",ROUND(MOD(D9-C9,1)*1440,0))</f>
        <v/>
      </c>
      <c r="F9" s="15"/>
      <c r="G9" s="15"/>
      <c r="H9" s="12" t="str">
        <f aca="false">IF(COUNT(F9,G9)&lt;2,"",G9-F9)</f>
        <v/>
      </c>
      <c r="I9" s="15"/>
      <c r="J9" s="15"/>
      <c r="K9" s="15"/>
      <c r="L9" s="16"/>
    </row>
    <row r="10" customFormat="false" ht="24" hidden="false" customHeight="true" outlineLevel="0" collapsed="false">
      <c r="A10" s="12" t="s">
        <v>62</v>
      </c>
      <c r="B10" s="13"/>
      <c r="C10" s="14"/>
      <c r="D10" s="14"/>
      <c r="E10" s="12" t="str">
        <f aca="false">IF(OR(C10="",D10=""),"",ROUND(MOD(D10-C10,1)*1440,0))</f>
        <v/>
      </c>
      <c r="F10" s="15"/>
      <c r="G10" s="15"/>
      <c r="H10" s="12" t="str">
        <f aca="false">IF(COUNT(F10,G10)&lt;2,"",G10-F10)</f>
        <v/>
      </c>
      <c r="I10" s="15"/>
      <c r="J10" s="15"/>
      <c r="K10" s="15"/>
      <c r="L10" s="16"/>
    </row>
    <row r="11" customFormat="false" ht="24" hidden="false" customHeight="true" outlineLevel="0" collapsed="false">
      <c r="A11" s="12" t="s">
        <v>63</v>
      </c>
      <c r="B11" s="13"/>
      <c r="C11" s="14"/>
      <c r="D11" s="14"/>
      <c r="E11" s="12" t="str">
        <f aca="false">IF(OR(C11="",D11=""),"",ROUND(MOD(D11-C11,1)*1440,0))</f>
        <v/>
      </c>
      <c r="F11" s="15"/>
      <c r="G11" s="15"/>
      <c r="H11" s="12" t="str">
        <f aca="false">IF(COUNT(F11,G11)&lt;2,"",G11-F11)</f>
        <v/>
      </c>
      <c r="I11" s="15"/>
      <c r="J11" s="15"/>
      <c r="K11" s="15"/>
      <c r="L11" s="16"/>
    </row>
    <row r="12" customFormat="false" ht="24" hidden="false" customHeight="true" outlineLevel="0" collapsed="false">
      <c r="A12" s="12" t="s">
        <v>64</v>
      </c>
      <c r="B12" s="13"/>
      <c r="C12" s="14"/>
      <c r="D12" s="14"/>
      <c r="E12" s="12" t="str">
        <f aca="false">IF(OR(C12="",D12=""),"",ROUND(MOD(D12-C12,1)*1440,0))</f>
        <v/>
      </c>
      <c r="F12" s="15"/>
      <c r="G12" s="15"/>
      <c r="H12" s="12" t="str">
        <f aca="false">IF(COUNT(F12,G12)&lt;2,"",G12-F12)</f>
        <v/>
      </c>
      <c r="I12" s="15"/>
      <c r="J12" s="15"/>
      <c r="K12" s="15"/>
      <c r="L12" s="16"/>
    </row>
    <row r="14" customFormat="false" ht="15" hidden="false" customHeight="false" outlineLevel="0" collapsed="false">
      <c r="A14" s="17" t="s">
        <v>65</v>
      </c>
      <c r="B14" s="18" t="n">
        <f aca="false">COUNT(H6:H12)</f>
        <v>0</v>
      </c>
      <c r="C14" s="19" t="s">
        <v>66</v>
      </c>
    </row>
    <row r="15" customFormat="false" ht="15" hidden="false" customHeight="false" outlineLevel="0" collapsed="false">
      <c r="A15" s="17" t="s">
        <v>67</v>
      </c>
      <c r="B15" s="18" t="str">
        <f aca="false">IF(COUNT(E6:E12)=0,"",ROUND(AVERAGE(E6:E12),0))</f>
        <v/>
      </c>
      <c r="C15" s="19" t="s">
        <v>68</v>
      </c>
    </row>
    <row r="16" customFormat="false" ht="15" hidden="false" customHeight="false" outlineLevel="0" collapsed="false">
      <c r="A16" s="17" t="s">
        <v>69</v>
      </c>
      <c r="B16" s="20" t="str">
        <f aca="false">IF(COUNT(H6:H12)=0,"",ROUND(AVERAGE(H6:H12),1))</f>
        <v/>
      </c>
      <c r="C16" s="23" t="s">
        <v>70</v>
      </c>
    </row>
    <row r="17" customFormat="false" ht="15" hidden="false" customHeight="false" outlineLevel="0" collapsed="false">
      <c r="A17" s="17" t="s">
        <v>71</v>
      </c>
      <c r="B17" s="18" t="str">
        <f aca="false">IF(COUNT(H6:H12)=0,"",MIN(H6:H12))</f>
        <v/>
      </c>
      <c r="C17" s="23" t="s">
        <v>70</v>
      </c>
    </row>
    <row r="18" customFormat="false" ht="15" hidden="false" customHeight="false" outlineLevel="0" collapsed="false">
      <c r="A18" s="17" t="s">
        <v>72</v>
      </c>
      <c r="B18" s="18" t="str">
        <f aca="false">IF(B17="","","濕度上升 ≥ "&amp;ROUND(B17*0.8,0)&amp;" %RH 判斷為洗澡")</f>
        <v/>
      </c>
      <c r="C18" s="19" t="s">
        <v>73</v>
      </c>
    </row>
  </sheetData>
  <mergeCells count="1">
    <mergeCell ref="A2:L2"/>
  </mergeCells>
  <dataValidations count="1">
    <dataValidation allowBlank="true" errorStyle="stop" operator="between" showDropDown="false" showErrorMessage="false" showInputMessage="false" sqref="J6:J12" type="list">
      <formula1>"是,否"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4" min="3" style="0" width="46"/>
  </cols>
  <sheetData>
    <row r="1" customFormat="false" ht="20.85" hidden="false" customHeight="false" outlineLevel="0" collapsed="false">
      <c r="A1" s="1" t="s">
        <v>74</v>
      </c>
    </row>
    <row r="3" customFormat="false" ht="33.75" hidden="false" customHeight="true" outlineLevel="0" collapsed="false">
      <c r="A3" s="9" t="s">
        <v>75</v>
      </c>
      <c r="B3" s="9" t="s">
        <v>76</v>
      </c>
      <c r="C3" s="9" t="s">
        <v>45</v>
      </c>
      <c r="D3" s="9" t="s">
        <v>77</v>
      </c>
    </row>
    <row r="4" customFormat="false" ht="36" hidden="false" customHeight="true" outlineLevel="0" collapsed="false">
      <c r="A4" s="24" t="s">
        <v>78</v>
      </c>
      <c r="B4" s="25" t="str">
        <f aca="false">IF(夜間如廁!B15="","","平均 "&amp;夜間如廁!B15&amp;" 次/晚")</f>
        <v/>
      </c>
      <c r="C4" s="25" t="str">
        <f aca="false">夜間如廁!B18</f>
        <v/>
      </c>
      <c r="D4" s="26" t="s">
        <v>79</v>
      </c>
    </row>
    <row r="5" customFormat="false" ht="36" hidden="false" customHeight="true" outlineLevel="0" collapsed="false">
      <c r="A5" s="24" t="s">
        <v>80</v>
      </c>
      <c r="B5" s="25" t="str">
        <f aca="false">IF(洗澡濕度!B16="","","平均 "&amp;洗澡濕度!B16&amp;" %RH、最小 "&amp;洗澡濕度!B17&amp;" %RH")</f>
        <v/>
      </c>
      <c r="C5" s="25" t="str">
        <f aca="false">洗澡濕度!B18</f>
        <v/>
      </c>
      <c r="D5" s="26" t="s">
        <v>81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2026-10-29T08:57:51Z</dcterms:created>
  <dc:creator>openpyxl</dc:creator>
  <dc:description/>
  <dc:language>en-US</dc:language>
  <cp:lastModifiedBy/>
  <dcterms:modified xsi:type="dcterms:W3CDTF">2026-10-29T08:57:51Z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